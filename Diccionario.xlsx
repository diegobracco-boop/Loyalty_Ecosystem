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.bracco\Proyectos IA\Loyalty_Ecosystem\"/>
    </mc:Choice>
  </mc:AlternateContent>
  <xr:revisionPtr revIDLastSave="0" documentId="13_ncr:1_{B9CC3846-285A-472E-8E94-65CBC3094EFA}" xr6:coauthVersionLast="47" xr6:coauthVersionMax="47" xr10:uidLastSave="{00000000-0000-0000-0000-000000000000}"/>
  <bookViews>
    <workbookView xWindow="-110" yWindow="-110" windowWidth="19420" windowHeight="11500" xr2:uid="{EB146D08-7DC6-45C4-879A-E691C252D9FE}"/>
  </bookViews>
  <sheets>
    <sheet name="puntos" sheetId="1" r:id="rId1"/>
  </sheets>
  <definedNames>
    <definedName name="_xlnm._FilterDatabase" localSheetId="0" hidden="1">puntos!$A$1:$E$60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0" i="1" l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<sst xmlns="http://schemas.openxmlformats.org/spreadsheetml/2006/main" count="226" uniqueCount="82">
  <si>
    <t>point_type</t>
  </si>
  <si>
    <t>FORTUNE</t>
  </si>
  <si>
    <t>IFOOD_2W</t>
  </si>
  <si>
    <t>IFOOD_BR</t>
  </si>
  <si>
    <t>IFOOD_PR</t>
  </si>
  <si>
    <t>IFOOD_RWB</t>
  </si>
  <si>
    <t>IFOOD_WEL</t>
  </si>
  <si>
    <t>IFO_WE_CLU</t>
  </si>
  <si>
    <t>IF_CAMPAI</t>
  </si>
  <si>
    <t>IF_MISSION</t>
  </si>
  <si>
    <t>MISSIONS</t>
  </si>
  <si>
    <t>PONTOSBR</t>
  </si>
  <si>
    <t>Puntos R&amp;B</t>
  </si>
  <si>
    <t>SUBSCRIPTION</t>
  </si>
  <si>
    <t>SUBSCRIPTION_INT</t>
  </si>
  <si>
    <t>general</t>
  </si>
  <si>
    <t>BONDA_WELCOME_BONUS</t>
  </si>
  <si>
    <t>Sale General points</t>
  </si>
  <si>
    <t>IFOOD_WELCOME</t>
  </si>
  <si>
    <t>GENERAL LOCAL</t>
  </si>
  <si>
    <t>C_IM_PLATINUM_WELCOME</t>
  </si>
  <si>
    <t>IFOOD_WELCOME_CLUBE</t>
  </si>
  <si>
    <t>C_IA_GOLD_WELCOME_CREDIT</t>
  </si>
  <si>
    <t>SUBSCRIPTION_INTERESTS</t>
  </si>
  <si>
    <t>C_IM_GOLD_WELCOME</t>
  </si>
  <si>
    <t>C_IA_PUBO2</t>
  </si>
  <si>
    <t>GENERAL INTER</t>
  </si>
  <si>
    <t>General points</t>
  </si>
  <si>
    <t>C_IM_PLATINUM_GENERAL</t>
  </si>
  <si>
    <t>C_IA_PU_BO</t>
  </si>
  <si>
    <t>C_IA_PLATINUM_WELCOME_ADD</t>
  </si>
  <si>
    <t>Rewards &amp; Benefits</t>
  </si>
  <si>
    <t>C_IM_GOLD_GENERAL</t>
  </si>
  <si>
    <t>C_IM_GOLD_ANNUAL_SPEND</t>
  </si>
  <si>
    <t>C_IA_PLATINUM_GENERAL</t>
  </si>
  <si>
    <t>C_IA_PLATINUM_WELCOME_DEBIT</t>
  </si>
  <si>
    <t>C_IA_BLACK_WELCOME_CREDIT</t>
  </si>
  <si>
    <t>C_IA_GOLD_GENERAL</t>
  </si>
  <si>
    <t>C_IA_BLACK_WELCOME_DEBIT</t>
  </si>
  <si>
    <t>C_IM_SPEND_ANNUAL_SPEND</t>
  </si>
  <si>
    <t>C_IA_GOLD_WELCOME_ADD</t>
  </si>
  <si>
    <t>C_IA_GOLD_WELCOME_DEBIT</t>
  </si>
  <si>
    <t>C_IA_PLATINUM_WELCOME_CREDIT</t>
  </si>
  <si>
    <t>C_IA_BLACK_GENERAL</t>
  </si>
  <si>
    <t>C_IA_BLACK_WELCOME_ADD</t>
  </si>
  <si>
    <t>point_agrupado</t>
  </si>
  <si>
    <t>IFOOD</t>
  </si>
  <si>
    <t>Cobrand</t>
  </si>
  <si>
    <t>partner</t>
  </si>
  <si>
    <t>DP</t>
  </si>
  <si>
    <t>IFOODBR</t>
  </si>
  <si>
    <t>BONDAAR</t>
  </si>
  <si>
    <t>SUBS</t>
  </si>
  <si>
    <t>C6BANKBR</t>
  </si>
  <si>
    <t>BBVAMX</t>
  </si>
  <si>
    <t>BRBBR</t>
  </si>
  <si>
    <t>INVEXMX</t>
  </si>
  <si>
    <t>R&amp;B</t>
  </si>
  <si>
    <t>KIDDLEBR</t>
  </si>
  <si>
    <t>ICBCAR</t>
  </si>
  <si>
    <t>Mkt_App</t>
  </si>
  <si>
    <t>ENTREGOBR</t>
  </si>
  <si>
    <t>FOCOAR</t>
  </si>
  <si>
    <t>concatenado</t>
  </si>
  <si>
    <t>seccion</t>
  </si>
  <si>
    <t>INVEX</t>
  </si>
  <si>
    <t>ICBC</t>
  </si>
  <si>
    <t>Partners</t>
  </si>
  <si>
    <t>BONDA</t>
  </si>
  <si>
    <t>C6BANK</t>
  </si>
  <si>
    <t>BBVA</t>
  </si>
  <si>
    <t>BRBR</t>
  </si>
  <si>
    <t>FOCO</t>
  </si>
  <si>
    <t>Subscripcion</t>
  </si>
  <si>
    <t>Intereses Subscripcion</t>
  </si>
  <si>
    <t>Club Despegar</t>
  </si>
  <si>
    <t>KIDDLE</t>
  </si>
  <si>
    <t>Pasaporte D!</t>
  </si>
  <si>
    <t>Acciones Marketing</t>
  </si>
  <si>
    <t>Missions</t>
  </si>
  <si>
    <t>ENTREGO</t>
  </si>
  <si>
    <t>Puntos Manuales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</si>
</sst>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1A363-F7A4-4E79-805B-83C140A1A35F}">
  <dimension ref="A1:E60"/>
  <sheetViews>
    <sheetView tabSelected="1" workbookViewId="0">
      <selection activeCell="B13" sqref="B13:B14"/>
    </sheetView>
  </sheetViews>
  <sheetFormatPr baseColWidth="10" defaultRowHeight="14.5" x14ac:dyDescent="0.35"/>
  <cols>
    <col min="1" max="2" width="30.26953125" bestFit="1" customWidth="1"/>
    <col min="3" max="3" width="36.7265625" bestFit="1" customWidth="1"/>
    <col min="4" max="4" width="18.08984375" bestFit="1" customWidth="1"/>
  </cols>
  <sheetData>
    <row r="1" spans="1:5" x14ac:dyDescent="0.35">
      <c r="A1" t="s">
        <v>48</v>
      </c>
      <c r="B1" t="s">
        <v>0</v>
      </c>
      <c r="C1" t="s">
        <v>63</v>
      </c>
      <c r="D1" t="s">
        <v>45</v>
      </c>
      <c r="E1" t="s">
        <v>64</v>
      </c>
    </row>
    <row r="2" spans="1:5" x14ac:dyDescent="0.35">
      <c r="A2" t="s">
        <v>49</v>
      </c>
      <c r="B2" t="s">
        <v>15</v>
      </c>
      <c r="C2" t="str">
        <f>A2&amp;B2</f>
        <v>DPgeneral</v>
      </c>
      <c r="D2" t="s">
        <v>15</v>
      </c>
      <c r="E2" t="s">
        <v>77</v>
      </c>
    </row>
    <row r="3" spans="1:5" x14ac:dyDescent="0.35">
      <c r="A3" t="s">
        <v>50</v>
      </c>
      <c r="B3" t="s">
        <v>3</v>
      </c>
      <c r="C3" t="str">
        <f t="shared" ref="C3:C60" si="0">A3&amp;B3</f>
        <v>IFOODBRIFOOD_BR</v>
      </c>
      <c r="D3" t="s">
        <v>46</v>
      </c>
      <c r="E3" t="s">
        <v>46</v>
      </c>
    </row>
    <row r="4" spans="1:5" x14ac:dyDescent="0.35">
      <c r="A4" t="s">
        <v>51</v>
      </c>
      <c r="B4" t="s">
        <v>16</v>
      </c>
      <c r="C4" t="str">
        <f t="shared" si="0"/>
        <v>BONDAARBONDA_WELCOME_BONUS</v>
      </c>
      <c r="D4" t="s">
        <v>68</v>
      </c>
      <c r="E4" t="s">
        <v>67</v>
      </c>
    </row>
    <row r="5" spans="1:5" x14ac:dyDescent="0.35">
      <c r="A5" t="s">
        <v>52</v>
      </c>
      <c r="B5" t="s">
        <v>13</v>
      </c>
      <c r="C5" t="str">
        <f t="shared" si="0"/>
        <v>SUBSSUBSCRIPTION</v>
      </c>
      <c r="D5" t="s">
        <v>73</v>
      </c>
      <c r="E5" t="s">
        <v>75</v>
      </c>
    </row>
    <row r="6" spans="1:5" x14ac:dyDescent="0.35">
      <c r="A6" t="s">
        <v>50</v>
      </c>
      <c r="B6" t="s">
        <v>9</v>
      </c>
      <c r="C6" t="str">
        <f t="shared" si="0"/>
        <v>IFOODBRIF_MISSION</v>
      </c>
      <c r="D6" t="s">
        <v>46</v>
      </c>
      <c r="E6" t="s">
        <v>46</v>
      </c>
    </row>
    <row r="7" spans="1:5" x14ac:dyDescent="0.35">
      <c r="A7" t="s">
        <v>53</v>
      </c>
      <c r="B7" t="s">
        <v>17</v>
      </c>
      <c r="C7" t="str">
        <f t="shared" si="0"/>
        <v>C6BANKBRSale General points</v>
      </c>
      <c r="D7" t="s">
        <v>69</v>
      </c>
      <c r="E7" t="s">
        <v>67</v>
      </c>
    </row>
    <row r="8" spans="1:5" x14ac:dyDescent="0.35">
      <c r="A8" t="s">
        <v>50</v>
      </c>
      <c r="B8" t="s">
        <v>18</v>
      </c>
      <c r="C8" t="str">
        <f t="shared" si="0"/>
        <v>IFOODBRIFOOD_WELCOME</v>
      </c>
      <c r="D8" t="s">
        <v>46</v>
      </c>
      <c r="E8" t="s">
        <v>46</v>
      </c>
    </row>
    <row r="9" spans="1:5" x14ac:dyDescent="0.35">
      <c r="A9" t="s">
        <v>54</v>
      </c>
      <c r="B9" t="s">
        <v>17</v>
      </c>
      <c r="C9" t="str">
        <f t="shared" si="0"/>
        <v>BBVAMXSale General points</v>
      </c>
      <c r="D9" t="s">
        <v>70</v>
      </c>
      <c r="E9" t="s">
        <v>67</v>
      </c>
    </row>
    <row r="10" spans="1:5" x14ac:dyDescent="0.35">
      <c r="A10" t="s">
        <v>49</v>
      </c>
      <c r="B10" t="s">
        <v>19</v>
      </c>
      <c r="C10" t="str">
        <f t="shared" si="0"/>
        <v>DPGENERAL LOCAL</v>
      </c>
      <c r="D10" t="s">
        <v>15</v>
      </c>
      <c r="E10" t="s">
        <v>77</v>
      </c>
    </row>
    <row r="11" spans="1:5" x14ac:dyDescent="0.35">
      <c r="A11" t="s">
        <v>55</v>
      </c>
      <c r="B11" t="s">
        <v>17</v>
      </c>
      <c r="C11" t="str">
        <f t="shared" si="0"/>
        <v>BRBBRSale General points</v>
      </c>
      <c r="D11" t="s">
        <v>71</v>
      </c>
      <c r="E11" t="s">
        <v>67</v>
      </c>
    </row>
    <row r="12" spans="1:5" x14ac:dyDescent="0.35">
      <c r="A12" t="s">
        <v>56</v>
      </c>
      <c r="B12" t="s">
        <v>20</v>
      </c>
      <c r="C12" t="str">
        <f t="shared" si="0"/>
        <v>INVEXMXC_IM_PLATINUM_WELCOME</v>
      </c>
      <c r="D12" t="s">
        <v>65</v>
      </c>
      <c r="E12" t="s">
        <v>47</v>
      </c>
    </row>
    <row r="13" spans="1:5" x14ac:dyDescent="0.35">
      <c r="A13" t="s">
        <v>50</v>
      </c>
      <c r="B13" t="s">
        <v>6</v>
      </c>
      <c r="C13" t="str">
        <f t="shared" si="0"/>
        <v>IFOODBRIFOOD_WEL</v>
      </c>
      <c r="D13" t="s">
        <v>46</v>
      </c>
      <c r="E13" t="s">
        <v>46</v>
      </c>
    </row>
    <row r="14" spans="1:5" x14ac:dyDescent="0.35">
      <c r="A14" t="s">
        <v>50</v>
      </c>
      <c r="B14" t="s">
        <v>8</v>
      </c>
      <c r="C14" t="str">
        <f t="shared" si="0"/>
        <v>IFOODBRIF_CAMPAI</v>
      </c>
      <c r="D14" t="s">
        <v>46</v>
      </c>
      <c r="E14" t="s">
        <v>46</v>
      </c>
    </row>
    <row r="15" spans="1:5" x14ac:dyDescent="0.35">
      <c r="A15" t="s">
        <v>57</v>
      </c>
      <c r="B15" t="s">
        <v>11</v>
      </c>
      <c r="C15" t="str">
        <f t="shared" si="0"/>
        <v>R&amp;BPONTOSBR</v>
      </c>
      <c r="D15" t="s">
        <v>11</v>
      </c>
      <c r="E15" t="s">
        <v>78</v>
      </c>
    </row>
    <row r="16" spans="1:5" x14ac:dyDescent="0.35">
      <c r="A16" t="s">
        <v>49</v>
      </c>
      <c r="B16" t="s">
        <v>21</v>
      </c>
      <c r="C16" t="str">
        <f t="shared" si="0"/>
        <v>DPIFOOD_WELCOME_CLUBE</v>
      </c>
      <c r="D16" t="s">
        <v>46</v>
      </c>
      <c r="E16" t="s">
        <v>46</v>
      </c>
    </row>
    <row r="17" spans="1:5" x14ac:dyDescent="0.35">
      <c r="A17" t="s">
        <v>58</v>
      </c>
      <c r="B17" t="s">
        <v>17</v>
      </c>
      <c r="C17" t="str">
        <f t="shared" si="0"/>
        <v>KIDDLEBRSale General points</v>
      </c>
      <c r="D17" t="s">
        <v>76</v>
      </c>
      <c r="E17" t="s">
        <v>67</v>
      </c>
    </row>
    <row r="18" spans="1:5" x14ac:dyDescent="0.35">
      <c r="A18" t="s">
        <v>59</v>
      </c>
      <c r="B18" t="s">
        <v>22</v>
      </c>
      <c r="C18" t="str">
        <f t="shared" si="0"/>
        <v>ICBCARC_IA_GOLD_WELCOME_CREDIT</v>
      </c>
      <c r="D18" t="s">
        <v>66</v>
      </c>
      <c r="E18" t="s">
        <v>47</v>
      </c>
    </row>
    <row r="19" spans="1:5" x14ac:dyDescent="0.35">
      <c r="A19" t="s">
        <v>52</v>
      </c>
      <c r="B19" t="s">
        <v>23</v>
      </c>
      <c r="C19" t="str">
        <f t="shared" si="0"/>
        <v>SUBSSUBSCRIPTION_INTERESTS</v>
      </c>
      <c r="D19" t="s">
        <v>74</v>
      </c>
      <c r="E19" t="s">
        <v>75</v>
      </c>
    </row>
    <row r="20" spans="1:5" x14ac:dyDescent="0.35">
      <c r="A20" t="s">
        <v>60</v>
      </c>
      <c r="B20" t="s">
        <v>10</v>
      </c>
      <c r="C20" t="str">
        <f t="shared" si="0"/>
        <v>Mkt_AppMISSIONS</v>
      </c>
      <c r="D20" t="s">
        <v>10</v>
      </c>
      <c r="E20" t="s">
        <v>78</v>
      </c>
    </row>
    <row r="21" spans="1:5" x14ac:dyDescent="0.35">
      <c r="A21" t="s">
        <v>61</v>
      </c>
      <c r="B21" t="s">
        <v>17</v>
      </c>
      <c r="C21" t="str">
        <f t="shared" si="0"/>
        <v>ENTREGOBRSale General points</v>
      </c>
      <c r="D21" t="s">
        <v>80</v>
      </c>
      <c r="E21" t="s">
        <v>67</v>
      </c>
    </row>
    <row r="22" spans="1:5" x14ac:dyDescent="0.35">
      <c r="A22" t="s">
        <v>56</v>
      </c>
      <c r="B22" t="s">
        <v>24</v>
      </c>
      <c r="C22" t="str">
        <f t="shared" si="0"/>
        <v>INVEXMXC_IM_GOLD_WELCOME</v>
      </c>
      <c r="D22" t="s">
        <v>65</v>
      </c>
      <c r="E22" t="s">
        <v>47</v>
      </c>
    </row>
    <row r="23" spans="1:5" x14ac:dyDescent="0.35">
      <c r="A23" t="s">
        <v>1</v>
      </c>
      <c r="B23" t="s">
        <v>1</v>
      </c>
      <c r="C23" t="str">
        <f t="shared" si="0"/>
        <v>FORTUNEFORTUNE</v>
      </c>
      <c r="D23" t="s">
        <v>1</v>
      </c>
      <c r="E23" t="s">
        <v>78</v>
      </c>
    </row>
    <row r="24" spans="1:5" x14ac:dyDescent="0.35">
      <c r="A24" t="s">
        <v>59</v>
      </c>
      <c r="B24" t="s">
        <v>25</v>
      </c>
      <c r="C24" t="str">
        <f t="shared" si="0"/>
        <v>ICBCARC_IA_PUBO2</v>
      </c>
      <c r="D24" t="s">
        <v>66</v>
      </c>
      <c r="E24" t="s">
        <v>47</v>
      </c>
    </row>
    <row r="25" spans="1:5" x14ac:dyDescent="0.35">
      <c r="A25" t="s">
        <v>49</v>
      </c>
      <c r="B25" t="s">
        <v>26</v>
      </c>
      <c r="C25" t="str">
        <f t="shared" si="0"/>
        <v>DPGENERAL INTER</v>
      </c>
      <c r="D25" t="s">
        <v>15</v>
      </c>
      <c r="E25" t="s">
        <v>77</v>
      </c>
    </row>
    <row r="26" spans="1:5" x14ac:dyDescent="0.35">
      <c r="A26" t="s">
        <v>49</v>
      </c>
      <c r="B26" t="s">
        <v>27</v>
      </c>
      <c r="C26" t="str">
        <f t="shared" si="0"/>
        <v>DPGeneral points</v>
      </c>
      <c r="D26" t="s">
        <v>15</v>
      </c>
      <c r="E26" t="s">
        <v>77</v>
      </c>
    </row>
    <row r="27" spans="1:5" x14ac:dyDescent="0.35">
      <c r="A27" t="s">
        <v>56</v>
      </c>
      <c r="B27" t="s">
        <v>28</v>
      </c>
      <c r="C27" t="str">
        <f t="shared" si="0"/>
        <v>INVEXMXC_IM_PLATINUM_GENERAL</v>
      </c>
      <c r="D27" t="s">
        <v>65</v>
      </c>
      <c r="E27" t="s">
        <v>47</v>
      </c>
    </row>
    <row r="28" spans="1:5" x14ac:dyDescent="0.35">
      <c r="A28" t="s">
        <v>59</v>
      </c>
      <c r="B28" t="s">
        <v>29</v>
      </c>
      <c r="C28" t="str">
        <f t="shared" si="0"/>
        <v>ICBCARC_IA_PU_BO</v>
      </c>
      <c r="D28" t="s">
        <v>66</v>
      </c>
      <c r="E28" t="s">
        <v>47</v>
      </c>
    </row>
    <row r="29" spans="1:5" x14ac:dyDescent="0.35">
      <c r="A29" t="s">
        <v>59</v>
      </c>
      <c r="B29" t="s">
        <v>30</v>
      </c>
      <c r="C29" t="str">
        <f t="shared" si="0"/>
        <v>ICBCARC_IA_PLATINUM_WELCOME_ADD</v>
      </c>
      <c r="D29" t="s">
        <v>66</v>
      </c>
      <c r="E29" t="s">
        <v>47</v>
      </c>
    </row>
    <row r="30" spans="1:5" x14ac:dyDescent="0.35">
      <c r="A30" t="s">
        <v>57</v>
      </c>
      <c r="B30" t="s">
        <v>31</v>
      </c>
      <c r="C30" t="str">
        <f t="shared" si="0"/>
        <v>R&amp;BRewards &amp; Benefits</v>
      </c>
      <c r="D30" t="s">
        <v>81</v>
      </c>
      <c r="E30" t="s">
        <v>81</v>
      </c>
    </row>
    <row r="31" spans="1:5" x14ac:dyDescent="0.35">
      <c r="A31" t="s">
        <v>56</v>
      </c>
      <c r="B31" t="s">
        <v>32</v>
      </c>
      <c r="C31" t="str">
        <f t="shared" si="0"/>
        <v>INVEXMXC_IM_GOLD_GENERAL</v>
      </c>
      <c r="D31" t="s">
        <v>65</v>
      </c>
      <c r="E31" t="s">
        <v>47</v>
      </c>
    </row>
    <row r="32" spans="1:5" x14ac:dyDescent="0.35">
      <c r="A32" t="s">
        <v>56</v>
      </c>
      <c r="B32" t="s">
        <v>33</v>
      </c>
      <c r="C32" t="str">
        <f t="shared" si="0"/>
        <v>INVEXMXC_IM_GOLD_ANNUAL_SPEND</v>
      </c>
      <c r="D32" t="s">
        <v>65</v>
      </c>
      <c r="E32" t="s">
        <v>47</v>
      </c>
    </row>
    <row r="33" spans="1:5" x14ac:dyDescent="0.35">
      <c r="A33" t="s">
        <v>59</v>
      </c>
      <c r="B33" t="s">
        <v>34</v>
      </c>
      <c r="C33" t="str">
        <f t="shared" si="0"/>
        <v>ICBCARC_IA_PLATINUM_GENERAL</v>
      </c>
      <c r="D33" t="s">
        <v>66</v>
      </c>
      <c r="E33" t="s">
        <v>47</v>
      </c>
    </row>
    <row r="34" spans="1:5" x14ac:dyDescent="0.35">
      <c r="A34" t="s">
        <v>59</v>
      </c>
      <c r="B34" t="s">
        <v>35</v>
      </c>
      <c r="C34" t="str">
        <f t="shared" si="0"/>
        <v>ICBCARC_IA_PLATINUM_WELCOME_DEBIT</v>
      </c>
      <c r="D34" t="s">
        <v>66</v>
      </c>
      <c r="E34" t="s">
        <v>47</v>
      </c>
    </row>
    <row r="35" spans="1:5" x14ac:dyDescent="0.35">
      <c r="A35" t="s">
        <v>59</v>
      </c>
      <c r="B35" t="s">
        <v>36</v>
      </c>
      <c r="C35" t="str">
        <f t="shared" si="0"/>
        <v>ICBCARC_IA_BLACK_WELCOME_CREDIT</v>
      </c>
      <c r="D35" t="s">
        <v>66</v>
      </c>
      <c r="E35" t="s">
        <v>47</v>
      </c>
    </row>
    <row r="36" spans="1:5" x14ac:dyDescent="0.35">
      <c r="A36" t="s">
        <v>59</v>
      </c>
      <c r="B36" t="s">
        <v>37</v>
      </c>
      <c r="C36" t="str">
        <f t="shared" si="0"/>
        <v>ICBCARC_IA_GOLD_GENERAL</v>
      </c>
      <c r="D36" t="s">
        <v>66</v>
      </c>
      <c r="E36" t="s">
        <v>47</v>
      </c>
    </row>
    <row r="37" spans="1:5" x14ac:dyDescent="0.35">
      <c r="A37" t="s">
        <v>59</v>
      </c>
      <c r="B37" t="s">
        <v>38</v>
      </c>
      <c r="C37" t="str">
        <f t="shared" si="0"/>
        <v>ICBCARC_IA_BLACK_WELCOME_DEBIT</v>
      </c>
      <c r="D37" t="s">
        <v>66</v>
      </c>
      <c r="E37" t="s">
        <v>47</v>
      </c>
    </row>
    <row r="38" spans="1:5" x14ac:dyDescent="0.35">
      <c r="A38" t="s">
        <v>56</v>
      </c>
      <c r="B38" t="s">
        <v>39</v>
      </c>
      <c r="C38" t="str">
        <f t="shared" si="0"/>
        <v>INVEXMXC_IM_SPEND_ANNUAL_SPEND</v>
      </c>
      <c r="D38" t="s">
        <v>65</v>
      </c>
      <c r="E38" t="s">
        <v>47</v>
      </c>
    </row>
    <row r="39" spans="1:5" x14ac:dyDescent="0.35">
      <c r="A39" t="s">
        <v>62</v>
      </c>
      <c r="B39" t="s">
        <v>17</v>
      </c>
      <c r="C39" t="str">
        <f t="shared" si="0"/>
        <v>FOCOARSale General points</v>
      </c>
      <c r="D39" t="s">
        <v>72</v>
      </c>
      <c r="E39" t="s">
        <v>67</v>
      </c>
    </row>
    <row r="40" spans="1:5" x14ac:dyDescent="0.35">
      <c r="A40" t="s">
        <v>59</v>
      </c>
      <c r="B40" t="s">
        <v>40</v>
      </c>
      <c r="C40" t="str">
        <f t="shared" si="0"/>
        <v>ICBCARC_IA_GOLD_WELCOME_ADD</v>
      </c>
      <c r="D40" t="s">
        <v>66</v>
      </c>
      <c r="E40" t="s">
        <v>47</v>
      </c>
    </row>
    <row r="41" spans="1:5" x14ac:dyDescent="0.35">
      <c r="A41" t="s">
        <v>59</v>
      </c>
      <c r="B41" t="s">
        <v>41</v>
      </c>
      <c r="C41" t="str">
        <f t="shared" si="0"/>
        <v>ICBCARC_IA_GOLD_WELCOME_DEBIT</v>
      </c>
      <c r="D41" t="s">
        <v>66</v>
      </c>
      <c r="E41" t="s">
        <v>47</v>
      </c>
    </row>
    <row r="42" spans="1:5" x14ac:dyDescent="0.35">
      <c r="A42" t="s">
        <v>59</v>
      </c>
      <c r="B42" t="s">
        <v>42</v>
      </c>
      <c r="C42" t="str">
        <f t="shared" si="0"/>
        <v>ICBCARC_IA_PLATINUM_WELCOME_CREDIT</v>
      </c>
      <c r="D42" t="s">
        <v>66</v>
      </c>
      <c r="E42" t="s">
        <v>47</v>
      </c>
    </row>
    <row r="43" spans="1:5" x14ac:dyDescent="0.35">
      <c r="A43" t="s">
        <v>50</v>
      </c>
      <c r="B43" t="s">
        <v>2</v>
      </c>
      <c r="C43" t="str">
        <f t="shared" si="0"/>
        <v>IFOODBRIFOOD_2W</v>
      </c>
      <c r="D43" t="s">
        <v>46</v>
      </c>
      <c r="E43" t="s">
        <v>46</v>
      </c>
    </row>
    <row r="44" spans="1:5" x14ac:dyDescent="0.35">
      <c r="A44" t="s">
        <v>59</v>
      </c>
      <c r="B44" t="s">
        <v>43</v>
      </c>
      <c r="C44" t="str">
        <f t="shared" si="0"/>
        <v>ICBCARC_IA_BLACK_GENERAL</v>
      </c>
      <c r="D44" t="s">
        <v>66</v>
      </c>
      <c r="E44" t="s">
        <v>47</v>
      </c>
    </row>
    <row r="45" spans="1:5" x14ac:dyDescent="0.35">
      <c r="A45" t="s">
        <v>59</v>
      </c>
      <c r="B45" t="s">
        <v>44</v>
      </c>
      <c r="C45" t="str">
        <f t="shared" si="0"/>
        <v>ICBCARC_IA_BLACK_WELCOME_ADD</v>
      </c>
      <c r="D45" t="s">
        <v>66</v>
      </c>
      <c r="E45" t="s">
        <v>47</v>
      </c>
    </row>
    <row r="46" spans="1:5" x14ac:dyDescent="0.35">
      <c r="B46" t="s">
        <v>1</v>
      </c>
      <c r="C46" t="str">
        <f t="shared" si="0"/>
        <v>FORTUNE</v>
      </c>
      <c r="D46" t="s">
        <v>1</v>
      </c>
      <c r="E46" t="s">
        <v>78</v>
      </c>
    </row>
    <row r="47" spans="1:5" x14ac:dyDescent="0.35">
      <c r="B47" t="s">
        <v>2</v>
      </c>
      <c r="C47" t="str">
        <f t="shared" si="0"/>
        <v>IFOOD_2W</v>
      </c>
      <c r="D47" t="s">
        <v>46</v>
      </c>
      <c r="E47" t="s">
        <v>46</v>
      </c>
    </row>
    <row r="48" spans="1:5" x14ac:dyDescent="0.35">
      <c r="B48" t="s">
        <v>3</v>
      </c>
      <c r="C48" t="str">
        <f t="shared" si="0"/>
        <v>IFOOD_BR</v>
      </c>
      <c r="D48" t="s">
        <v>46</v>
      </c>
      <c r="E48" t="s">
        <v>46</v>
      </c>
    </row>
    <row r="49" spans="2:5" x14ac:dyDescent="0.35">
      <c r="B49" t="s">
        <v>4</v>
      </c>
      <c r="C49" t="str">
        <f t="shared" si="0"/>
        <v>IFOOD_PR</v>
      </c>
      <c r="D49" t="s">
        <v>46</v>
      </c>
      <c r="E49" t="s">
        <v>46</v>
      </c>
    </row>
    <row r="50" spans="2:5" x14ac:dyDescent="0.35">
      <c r="B50" t="s">
        <v>5</v>
      </c>
      <c r="C50" t="str">
        <f t="shared" si="0"/>
        <v>IFOOD_RWB</v>
      </c>
      <c r="D50" t="s">
        <v>46</v>
      </c>
      <c r="E50" t="s">
        <v>46</v>
      </c>
    </row>
    <row r="51" spans="2:5" x14ac:dyDescent="0.35">
      <c r="B51" t="s">
        <v>6</v>
      </c>
      <c r="C51" t="str">
        <f t="shared" si="0"/>
        <v>IFOOD_WEL</v>
      </c>
      <c r="D51" t="s">
        <v>46</v>
      </c>
      <c r="E51" t="s">
        <v>46</v>
      </c>
    </row>
    <row r="52" spans="2:5" x14ac:dyDescent="0.35">
      <c r="B52" t="s">
        <v>7</v>
      </c>
      <c r="C52" t="str">
        <f t="shared" si="0"/>
        <v>IFO_WE_CLU</v>
      </c>
      <c r="D52" t="s">
        <v>46</v>
      </c>
      <c r="E52" t="s">
        <v>46</v>
      </c>
    </row>
    <row r="53" spans="2:5" x14ac:dyDescent="0.35">
      <c r="B53" t="s">
        <v>8</v>
      </c>
      <c r="C53" t="str">
        <f t="shared" si="0"/>
        <v>IF_CAMPAI</v>
      </c>
      <c r="D53" t="s">
        <v>46</v>
      </c>
      <c r="E53" t="s">
        <v>46</v>
      </c>
    </row>
    <row r="54" spans="2:5" x14ac:dyDescent="0.35">
      <c r="B54" t="s">
        <v>9</v>
      </c>
      <c r="C54" t="str">
        <f t="shared" si="0"/>
        <v>IF_MISSION</v>
      </c>
      <c r="D54" t="s">
        <v>46</v>
      </c>
      <c r="E54" t="s">
        <v>46</v>
      </c>
    </row>
    <row r="55" spans="2:5" x14ac:dyDescent="0.35">
      <c r="B55" t="s">
        <v>10</v>
      </c>
      <c r="C55" t="str">
        <f t="shared" si="0"/>
        <v>MISSIONS</v>
      </c>
      <c r="D55" t="s">
        <v>79</v>
      </c>
      <c r="E55" t="s">
        <v>78</v>
      </c>
    </row>
    <row r="56" spans="2:5" x14ac:dyDescent="0.35">
      <c r="B56" t="s">
        <v>11</v>
      </c>
      <c r="C56" t="str">
        <f t="shared" si="0"/>
        <v>PONTOSBR</v>
      </c>
      <c r="D56" t="s">
        <v>11</v>
      </c>
      <c r="E56" t="s">
        <v>78</v>
      </c>
    </row>
    <row r="57" spans="2:5" x14ac:dyDescent="0.35">
      <c r="B57" t="s">
        <v>12</v>
      </c>
      <c r="C57" t="str">
        <f t="shared" si="0"/>
        <v>Puntos R&amp;B</v>
      </c>
      <c r="D57" t="s">
        <v>81</v>
      </c>
      <c r="E57" t="s">
        <v>81</v>
      </c>
    </row>
    <row r="58" spans="2:5" x14ac:dyDescent="0.35">
      <c r="B58" t="s">
        <v>13</v>
      </c>
      <c r="C58" t="str">
        <f t="shared" si="0"/>
        <v>SUBSCRIPTION</v>
      </c>
      <c r="D58" t="s">
        <v>73</v>
      </c>
      <c r="E58" t="s">
        <v>75</v>
      </c>
    </row>
    <row r="59" spans="2:5" x14ac:dyDescent="0.35">
      <c r="B59" t="s">
        <v>14</v>
      </c>
      <c r="C59" t="str">
        <f t="shared" si="0"/>
        <v>SUBSCRIPTION_INT</v>
      </c>
      <c r="D59" t="s">
        <v>74</v>
      </c>
      <c r="E59" t="s">
        <v>75</v>
      </c>
    </row>
    <row r="60" spans="2:5" x14ac:dyDescent="0.35">
      <c r="B60" t="s">
        <v>15</v>
      </c>
      <c r="C60" t="str">
        <f t="shared" si="0"/>
        <v>general</v>
      </c>
      <c r="D60" t="s">
        <v>15</v>
      </c>
      <c r="E60" t="s">
        <v>77</v>
      </c>
    </row>
  </sheetData>
  <autoFilter ref="A1:E60" xr:uid="{6161A363-F7A4-4E79-805B-83C140A1A35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Bracco</dc:creator>
  <cp:lastModifiedBy>Diego Bracco</cp:lastModifiedBy>
  <dcterms:created xsi:type="dcterms:W3CDTF">2026-08-15T04:10:32Z</dcterms:created>
  <dcterms:modified xsi:type="dcterms:W3CDTF">2026-08-15T17:00:55Z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