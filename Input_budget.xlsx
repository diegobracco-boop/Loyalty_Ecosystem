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spegar365.sharepoint.com/sites/ControldeGestion/Documentos compartidos/Loyalty/Loyalty_Ecosystem/"/>
    </mc:Choice>
  </mc:AlternateContent>
  <xr:revisionPtr revIDLastSave="128" documentId="8_{1F8A2247-974B-431A-93A4-B8DB0FEF6EAE}" xr6:coauthVersionLast="47" xr6:coauthVersionMax="47" xr10:uidLastSave="{3AB9DB97-0714-4CF8-9259-ED2AAE4E1054}"/>
  <bookViews>
    <workbookView xWindow="-110" yWindow="-110" windowWidth="19420" windowHeight="11500" tabRatio="717" activeTab="5" xr2:uid="{F82BBACD-AED3-4FDA-9BD6-70E54026340F}"/>
  </bookViews>
  <sheets>
    <sheet name="Cobrands_Partners" sheetId="1" r:id="rId1"/>
    <sheet name="Breakage" sheetId="2" r:id="rId2"/>
    <sheet name="Redenciones" sheetId="3" r:id="rId3"/>
    <sheet name="SSP_PrecioPasivo" sheetId="4" r:id="rId4"/>
    <sheet name="Ratio_acumulacion" sheetId="6" r:id="rId5"/>
    <sheet name="Penetracion_GB" sheetId="5" r:id="rId6"/>
  </sheets>
  <externalReferences>
    <externalReference r:id="rId7"/>
    <externalReference r:id="rId8"/>
    <externalReference r:id="rId9"/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5" i="6" l="1"/>
  <c r="G35" i="6" s="1"/>
  <c r="H35" i="6" s="1"/>
  <c r="I35" i="6" s="1"/>
  <c r="J35" i="6" s="1"/>
  <c r="K35" i="6" s="1"/>
  <c r="L35" i="6" s="1"/>
  <c r="M35" i="6" s="1"/>
  <c r="N35" i="6" s="1"/>
  <c r="O35" i="6" s="1"/>
  <c r="F31" i="6"/>
  <c r="G31" i="6" s="1"/>
  <c r="H31" i="6" s="1"/>
  <c r="I31" i="6" s="1"/>
  <c r="J31" i="6" s="1"/>
  <c r="K31" i="6" s="1"/>
  <c r="L31" i="6" s="1"/>
  <c r="M31" i="6" s="1"/>
  <c r="N31" i="6" s="1"/>
  <c r="O31" i="6" s="1"/>
  <c r="F21" i="6"/>
  <c r="G21" i="6" s="1"/>
  <c r="H21" i="6" s="1"/>
  <c r="I21" i="6" s="1"/>
  <c r="J21" i="6" s="1"/>
  <c r="K21" i="6" s="1"/>
  <c r="L21" i="6" s="1"/>
  <c r="M21" i="6" s="1"/>
  <c r="N21" i="6" s="1"/>
  <c r="O21" i="6" s="1"/>
  <c r="F20" i="6"/>
  <c r="G20" i="6" s="1"/>
  <c r="H20" i="6" s="1"/>
  <c r="I20" i="6" s="1"/>
  <c r="J20" i="6" s="1"/>
  <c r="K20" i="6" s="1"/>
  <c r="L20" i="6" s="1"/>
  <c r="M20" i="6" s="1"/>
  <c r="N20" i="6" s="1"/>
  <c r="O20" i="6" s="1"/>
  <c r="E49" i="6"/>
  <c r="F49" i="6" s="1"/>
  <c r="G49" i="6" s="1"/>
  <c r="H49" i="6" s="1"/>
  <c r="I49" i="6" s="1"/>
  <c r="J49" i="6" s="1"/>
  <c r="K49" i="6" s="1"/>
  <c r="L49" i="6" s="1"/>
  <c r="M49" i="6" s="1"/>
  <c r="N49" i="6" s="1"/>
  <c r="O49" i="6" s="1"/>
  <c r="E48" i="6"/>
  <c r="F48" i="6" s="1"/>
  <c r="G48" i="6" s="1"/>
  <c r="H48" i="6" s="1"/>
  <c r="I48" i="6" s="1"/>
  <c r="J48" i="6" s="1"/>
  <c r="K48" i="6" s="1"/>
  <c r="L48" i="6" s="1"/>
  <c r="M48" i="6" s="1"/>
  <c r="N48" i="6" s="1"/>
  <c r="O48" i="6" s="1"/>
  <c r="E47" i="6"/>
  <c r="F47" i="6" s="1"/>
  <c r="G47" i="6" s="1"/>
  <c r="H47" i="6" s="1"/>
  <c r="I47" i="6" s="1"/>
  <c r="J47" i="6" s="1"/>
  <c r="K47" i="6" s="1"/>
  <c r="L47" i="6" s="1"/>
  <c r="M47" i="6" s="1"/>
  <c r="N47" i="6" s="1"/>
  <c r="O47" i="6" s="1"/>
  <c r="E46" i="6"/>
  <c r="F46" i="6" s="1"/>
  <c r="G46" i="6" s="1"/>
  <c r="H46" i="6" s="1"/>
  <c r="I46" i="6" s="1"/>
  <c r="J46" i="6" s="1"/>
  <c r="K46" i="6" s="1"/>
  <c r="L46" i="6" s="1"/>
  <c r="M46" i="6" s="1"/>
  <c r="N46" i="6" s="1"/>
  <c r="O46" i="6" s="1"/>
  <c r="E45" i="6"/>
  <c r="F45" i="6" s="1"/>
  <c r="G45" i="6" s="1"/>
  <c r="H45" i="6" s="1"/>
  <c r="I45" i="6" s="1"/>
  <c r="J45" i="6" s="1"/>
  <c r="K45" i="6" s="1"/>
  <c r="L45" i="6" s="1"/>
  <c r="M45" i="6" s="1"/>
  <c r="N45" i="6" s="1"/>
  <c r="O45" i="6" s="1"/>
  <c r="E44" i="6"/>
  <c r="F44" i="6" s="1"/>
  <c r="G44" i="6" s="1"/>
  <c r="H44" i="6" s="1"/>
  <c r="I44" i="6" s="1"/>
  <c r="J44" i="6" s="1"/>
  <c r="K44" i="6" s="1"/>
  <c r="L44" i="6" s="1"/>
  <c r="M44" i="6" s="1"/>
  <c r="N44" i="6" s="1"/>
  <c r="O44" i="6" s="1"/>
  <c r="E35" i="6"/>
  <c r="E34" i="6"/>
  <c r="F34" i="6" s="1"/>
  <c r="G34" i="6" s="1"/>
  <c r="H34" i="6" s="1"/>
  <c r="I34" i="6" s="1"/>
  <c r="J34" i="6" s="1"/>
  <c r="K34" i="6" s="1"/>
  <c r="L34" i="6" s="1"/>
  <c r="M34" i="6" s="1"/>
  <c r="N34" i="6" s="1"/>
  <c r="O34" i="6" s="1"/>
  <c r="E33" i="6"/>
  <c r="F33" i="6" s="1"/>
  <c r="G33" i="6" s="1"/>
  <c r="H33" i="6" s="1"/>
  <c r="I33" i="6" s="1"/>
  <c r="J33" i="6" s="1"/>
  <c r="K33" i="6" s="1"/>
  <c r="L33" i="6" s="1"/>
  <c r="M33" i="6" s="1"/>
  <c r="N33" i="6" s="1"/>
  <c r="O33" i="6" s="1"/>
  <c r="E32" i="6"/>
  <c r="F32" i="6" s="1"/>
  <c r="G32" i="6" s="1"/>
  <c r="H32" i="6" s="1"/>
  <c r="I32" i="6" s="1"/>
  <c r="J32" i="6" s="1"/>
  <c r="K32" i="6" s="1"/>
  <c r="L32" i="6" s="1"/>
  <c r="M32" i="6" s="1"/>
  <c r="N32" i="6" s="1"/>
  <c r="O32" i="6" s="1"/>
  <c r="E31" i="6"/>
  <c r="E30" i="6"/>
  <c r="F30" i="6" s="1"/>
  <c r="G30" i="6" s="1"/>
  <c r="H30" i="6" s="1"/>
  <c r="I30" i="6" s="1"/>
  <c r="J30" i="6" s="1"/>
  <c r="K30" i="6" s="1"/>
  <c r="L30" i="6" s="1"/>
  <c r="M30" i="6" s="1"/>
  <c r="N30" i="6" s="1"/>
  <c r="O30" i="6" s="1"/>
  <c r="E21" i="6"/>
  <c r="E20" i="6"/>
  <c r="E19" i="6"/>
  <c r="F19" i="6" s="1"/>
  <c r="G19" i="6" s="1"/>
  <c r="H19" i="6" s="1"/>
  <c r="I19" i="6" s="1"/>
  <c r="J19" i="6" s="1"/>
  <c r="K19" i="6" s="1"/>
  <c r="L19" i="6" s="1"/>
  <c r="M19" i="6" s="1"/>
  <c r="N19" i="6" s="1"/>
  <c r="O19" i="6" s="1"/>
  <c r="E18" i="6"/>
  <c r="F18" i="6" s="1"/>
  <c r="G18" i="6" s="1"/>
  <c r="H18" i="6" s="1"/>
  <c r="I18" i="6" s="1"/>
  <c r="J18" i="6" s="1"/>
  <c r="K18" i="6" s="1"/>
  <c r="L18" i="6" s="1"/>
  <c r="M18" i="6" s="1"/>
  <c r="N18" i="6" s="1"/>
  <c r="O18" i="6" s="1"/>
  <c r="E17" i="6"/>
  <c r="F17" i="6" s="1"/>
  <c r="G17" i="6" s="1"/>
  <c r="H17" i="6" s="1"/>
  <c r="I17" i="6" s="1"/>
  <c r="J17" i="6" s="1"/>
  <c r="K17" i="6" s="1"/>
  <c r="L17" i="6" s="1"/>
  <c r="M17" i="6" s="1"/>
  <c r="N17" i="6" s="1"/>
  <c r="O17" i="6" s="1"/>
  <c r="E16" i="6"/>
  <c r="F16" i="6" s="1"/>
  <c r="G16" i="6" s="1"/>
  <c r="H16" i="6" s="1"/>
  <c r="I16" i="6" s="1"/>
  <c r="J16" i="6" s="1"/>
  <c r="K16" i="6" s="1"/>
  <c r="L16" i="6" s="1"/>
  <c r="M16" i="6" s="1"/>
  <c r="N16" i="6" s="1"/>
  <c r="O16" i="6" s="1"/>
  <c r="E15" i="6"/>
  <c r="F15" i="6" s="1"/>
  <c r="G15" i="6" s="1"/>
  <c r="H15" i="6" s="1"/>
  <c r="I15" i="6" s="1"/>
  <c r="J15" i="6" s="1"/>
  <c r="K15" i="6" s="1"/>
  <c r="L15" i="6" s="1"/>
  <c r="M15" i="6" s="1"/>
  <c r="N15" i="6" s="1"/>
  <c r="O15" i="6" s="1"/>
  <c r="E7" i="6"/>
  <c r="F7" i="6" s="1"/>
  <c r="G7" i="6" s="1"/>
  <c r="H7" i="6" s="1"/>
  <c r="I7" i="6" s="1"/>
  <c r="J7" i="6" s="1"/>
  <c r="K7" i="6" s="1"/>
  <c r="L7" i="6" s="1"/>
  <c r="M7" i="6" s="1"/>
  <c r="N7" i="6" s="1"/>
  <c r="O7" i="6" s="1"/>
  <c r="E6" i="6"/>
  <c r="F6" i="6" s="1"/>
  <c r="G6" i="6" s="1"/>
  <c r="H6" i="6" s="1"/>
  <c r="I6" i="6" s="1"/>
  <c r="J6" i="6" s="1"/>
  <c r="K6" i="6" s="1"/>
  <c r="L6" i="6" s="1"/>
  <c r="M6" i="6" s="1"/>
  <c r="N6" i="6" s="1"/>
  <c r="O6" i="6" s="1"/>
  <c r="E5" i="6"/>
  <c r="F5" i="6" s="1"/>
  <c r="G5" i="6" s="1"/>
  <c r="H5" i="6" s="1"/>
  <c r="I5" i="6" s="1"/>
  <c r="J5" i="6" s="1"/>
  <c r="K5" i="6" s="1"/>
  <c r="L5" i="6" s="1"/>
  <c r="M5" i="6" s="1"/>
  <c r="N5" i="6" s="1"/>
  <c r="O5" i="6" s="1"/>
  <c r="E4" i="6"/>
  <c r="F4" i="6" s="1"/>
  <c r="G4" i="6" s="1"/>
  <c r="H4" i="6" s="1"/>
  <c r="I4" i="6" s="1"/>
  <c r="J4" i="6" s="1"/>
  <c r="K4" i="6" s="1"/>
  <c r="L4" i="6" s="1"/>
  <c r="M4" i="6" s="1"/>
  <c r="N4" i="6" s="1"/>
  <c r="O4" i="6" s="1"/>
  <c r="E3" i="6"/>
  <c r="F3" i="6" s="1"/>
  <c r="G3" i="6" s="1"/>
  <c r="H3" i="6" s="1"/>
  <c r="I3" i="6" s="1"/>
  <c r="J3" i="6" s="1"/>
  <c r="K3" i="6" s="1"/>
  <c r="L3" i="6" s="1"/>
  <c r="M3" i="6" s="1"/>
  <c r="N3" i="6" s="1"/>
  <c r="O3" i="6" s="1"/>
  <c r="E2" i="6"/>
  <c r="F2" i="6" s="1"/>
  <c r="G2" i="6" s="1"/>
  <c r="H2" i="6" s="1"/>
  <c r="I2" i="6" s="1"/>
  <c r="J2" i="6" s="1"/>
  <c r="K2" i="6" s="1"/>
  <c r="L2" i="6" s="1"/>
  <c r="M2" i="6" s="1"/>
  <c r="N2" i="6" s="1"/>
  <c r="O2" i="6" s="1"/>
  <c r="D50" i="6"/>
  <c r="E50" i="6" s="1"/>
  <c r="F50" i="6" s="1"/>
  <c r="G50" i="6" s="1"/>
  <c r="H50" i="6" s="1"/>
  <c r="I50" i="6" s="1"/>
  <c r="J50" i="6" s="1"/>
  <c r="K50" i="6" s="1"/>
  <c r="L50" i="6" s="1"/>
  <c r="M50" i="6" s="1"/>
  <c r="N50" i="6" s="1"/>
  <c r="O50" i="6" s="1"/>
  <c r="D49" i="6"/>
  <c r="D48" i="6"/>
  <c r="D47" i="6"/>
  <c r="D46" i="6"/>
  <c r="D45" i="6"/>
  <c r="D44" i="6"/>
  <c r="D43" i="6"/>
  <c r="E43" i="6" s="1"/>
  <c r="F43" i="6" s="1"/>
  <c r="G43" i="6" s="1"/>
  <c r="H43" i="6" s="1"/>
  <c r="I43" i="6" s="1"/>
  <c r="J43" i="6" s="1"/>
  <c r="K43" i="6" s="1"/>
  <c r="L43" i="6" s="1"/>
  <c r="M43" i="6" s="1"/>
  <c r="N43" i="6" s="1"/>
  <c r="O43" i="6" s="1"/>
  <c r="D42" i="6"/>
  <c r="E42" i="6" s="1"/>
  <c r="F42" i="6" s="1"/>
  <c r="G42" i="6" s="1"/>
  <c r="H42" i="6" s="1"/>
  <c r="I42" i="6" s="1"/>
  <c r="J42" i="6" s="1"/>
  <c r="K42" i="6" s="1"/>
  <c r="L42" i="6" s="1"/>
  <c r="M42" i="6" s="1"/>
  <c r="N42" i="6" s="1"/>
  <c r="O42" i="6" s="1"/>
  <c r="D41" i="6"/>
  <c r="E41" i="6" s="1"/>
  <c r="F41" i="6" s="1"/>
  <c r="G41" i="6" s="1"/>
  <c r="H41" i="6" s="1"/>
  <c r="I41" i="6" s="1"/>
  <c r="J41" i="6" s="1"/>
  <c r="K41" i="6" s="1"/>
  <c r="L41" i="6" s="1"/>
  <c r="M41" i="6" s="1"/>
  <c r="N41" i="6" s="1"/>
  <c r="O41" i="6" s="1"/>
  <c r="D40" i="6"/>
  <c r="E40" i="6" s="1"/>
  <c r="F40" i="6" s="1"/>
  <c r="G40" i="6" s="1"/>
  <c r="H40" i="6" s="1"/>
  <c r="I40" i="6" s="1"/>
  <c r="J40" i="6" s="1"/>
  <c r="K40" i="6" s="1"/>
  <c r="L40" i="6" s="1"/>
  <c r="M40" i="6" s="1"/>
  <c r="N40" i="6" s="1"/>
  <c r="O40" i="6" s="1"/>
  <c r="D39" i="6"/>
  <c r="E39" i="6" s="1"/>
  <c r="F39" i="6" s="1"/>
  <c r="G39" i="6" s="1"/>
  <c r="H39" i="6" s="1"/>
  <c r="I39" i="6" s="1"/>
  <c r="J39" i="6" s="1"/>
  <c r="K39" i="6" s="1"/>
  <c r="L39" i="6" s="1"/>
  <c r="M39" i="6" s="1"/>
  <c r="N39" i="6" s="1"/>
  <c r="O39" i="6" s="1"/>
  <c r="D38" i="6"/>
  <c r="E38" i="6" s="1"/>
  <c r="F38" i="6" s="1"/>
  <c r="G38" i="6" s="1"/>
  <c r="H38" i="6" s="1"/>
  <c r="I38" i="6" s="1"/>
  <c r="J38" i="6" s="1"/>
  <c r="K38" i="6" s="1"/>
  <c r="L38" i="6" s="1"/>
  <c r="M38" i="6" s="1"/>
  <c r="N38" i="6" s="1"/>
  <c r="O38" i="6" s="1"/>
  <c r="D37" i="6"/>
  <c r="E37" i="6" s="1"/>
  <c r="F37" i="6" s="1"/>
  <c r="G37" i="6" s="1"/>
  <c r="H37" i="6" s="1"/>
  <c r="I37" i="6" s="1"/>
  <c r="J37" i="6" s="1"/>
  <c r="K37" i="6" s="1"/>
  <c r="L37" i="6" s="1"/>
  <c r="M37" i="6" s="1"/>
  <c r="N37" i="6" s="1"/>
  <c r="O37" i="6" s="1"/>
  <c r="D36" i="6"/>
  <c r="E36" i="6" s="1"/>
  <c r="F36" i="6" s="1"/>
  <c r="G36" i="6" s="1"/>
  <c r="H36" i="6" s="1"/>
  <c r="I36" i="6" s="1"/>
  <c r="J36" i="6" s="1"/>
  <c r="K36" i="6" s="1"/>
  <c r="L36" i="6" s="1"/>
  <c r="M36" i="6" s="1"/>
  <c r="N36" i="6" s="1"/>
  <c r="O36" i="6" s="1"/>
  <c r="D35" i="6"/>
  <c r="D34" i="6"/>
  <c r="D33" i="6"/>
  <c r="D32" i="6"/>
  <c r="D31" i="6"/>
  <c r="D30" i="6"/>
  <c r="D29" i="6"/>
  <c r="E29" i="6" s="1"/>
  <c r="F29" i="6" s="1"/>
  <c r="G29" i="6" s="1"/>
  <c r="H29" i="6" s="1"/>
  <c r="I29" i="6" s="1"/>
  <c r="J29" i="6" s="1"/>
  <c r="K29" i="6" s="1"/>
  <c r="L29" i="6" s="1"/>
  <c r="M29" i="6" s="1"/>
  <c r="N29" i="6" s="1"/>
  <c r="O29" i="6" s="1"/>
  <c r="D28" i="6"/>
  <c r="E28" i="6" s="1"/>
  <c r="F28" i="6" s="1"/>
  <c r="G28" i="6" s="1"/>
  <c r="H28" i="6" s="1"/>
  <c r="I28" i="6" s="1"/>
  <c r="J28" i="6" s="1"/>
  <c r="K28" i="6" s="1"/>
  <c r="L28" i="6" s="1"/>
  <c r="M28" i="6" s="1"/>
  <c r="N28" i="6" s="1"/>
  <c r="O28" i="6" s="1"/>
  <c r="D27" i="6"/>
  <c r="E27" i="6" s="1"/>
  <c r="F27" i="6" s="1"/>
  <c r="G27" i="6" s="1"/>
  <c r="H27" i="6" s="1"/>
  <c r="I27" i="6" s="1"/>
  <c r="J27" i="6" s="1"/>
  <c r="K27" i="6" s="1"/>
  <c r="L27" i="6" s="1"/>
  <c r="M27" i="6" s="1"/>
  <c r="N27" i="6" s="1"/>
  <c r="O27" i="6" s="1"/>
  <c r="D26" i="6"/>
  <c r="E26" i="6" s="1"/>
  <c r="F26" i="6" s="1"/>
  <c r="G26" i="6" s="1"/>
  <c r="H26" i="6" s="1"/>
  <c r="I26" i="6" s="1"/>
  <c r="J26" i="6" s="1"/>
  <c r="K26" i="6" s="1"/>
  <c r="L26" i="6" s="1"/>
  <c r="M26" i="6" s="1"/>
  <c r="N26" i="6" s="1"/>
  <c r="O26" i="6" s="1"/>
  <c r="D25" i="6"/>
  <c r="E25" i="6" s="1"/>
  <c r="F25" i="6" s="1"/>
  <c r="G25" i="6" s="1"/>
  <c r="H25" i="6" s="1"/>
  <c r="I25" i="6" s="1"/>
  <c r="J25" i="6" s="1"/>
  <c r="K25" i="6" s="1"/>
  <c r="L25" i="6" s="1"/>
  <c r="M25" i="6" s="1"/>
  <c r="N25" i="6" s="1"/>
  <c r="O25" i="6" s="1"/>
  <c r="D24" i="6"/>
  <c r="E24" i="6" s="1"/>
  <c r="F24" i="6" s="1"/>
  <c r="G24" i="6" s="1"/>
  <c r="H24" i="6" s="1"/>
  <c r="I24" i="6" s="1"/>
  <c r="J24" i="6" s="1"/>
  <c r="K24" i="6" s="1"/>
  <c r="L24" i="6" s="1"/>
  <c r="M24" i="6" s="1"/>
  <c r="N24" i="6" s="1"/>
  <c r="O24" i="6" s="1"/>
  <c r="D23" i="6"/>
  <c r="E23" i="6" s="1"/>
  <c r="F23" i="6" s="1"/>
  <c r="G23" i="6" s="1"/>
  <c r="H23" i="6" s="1"/>
  <c r="I23" i="6" s="1"/>
  <c r="J23" i="6" s="1"/>
  <c r="K23" i="6" s="1"/>
  <c r="L23" i="6" s="1"/>
  <c r="M23" i="6" s="1"/>
  <c r="N23" i="6" s="1"/>
  <c r="O23" i="6" s="1"/>
  <c r="D22" i="6"/>
  <c r="E22" i="6" s="1"/>
  <c r="F22" i="6" s="1"/>
  <c r="G22" i="6" s="1"/>
  <c r="H22" i="6" s="1"/>
  <c r="I22" i="6" s="1"/>
  <c r="J22" i="6" s="1"/>
  <c r="K22" i="6" s="1"/>
  <c r="L22" i="6" s="1"/>
  <c r="M22" i="6" s="1"/>
  <c r="N22" i="6" s="1"/>
  <c r="O22" i="6" s="1"/>
  <c r="D21" i="6"/>
  <c r="D20" i="6"/>
  <c r="D19" i="6"/>
  <c r="D18" i="6"/>
  <c r="D17" i="6"/>
  <c r="D16" i="6"/>
  <c r="D15" i="6"/>
  <c r="D14" i="6"/>
  <c r="E14" i="6" s="1"/>
  <c r="F14" i="6" s="1"/>
  <c r="G14" i="6" s="1"/>
  <c r="H14" i="6" s="1"/>
  <c r="I14" i="6" s="1"/>
  <c r="J14" i="6" s="1"/>
  <c r="K14" i="6" s="1"/>
  <c r="L14" i="6" s="1"/>
  <c r="M14" i="6" s="1"/>
  <c r="N14" i="6" s="1"/>
  <c r="O14" i="6" s="1"/>
  <c r="D13" i="6"/>
  <c r="E13" i="6" s="1"/>
  <c r="F13" i="6" s="1"/>
  <c r="G13" i="6" s="1"/>
  <c r="H13" i="6" s="1"/>
  <c r="I13" i="6" s="1"/>
  <c r="J13" i="6" s="1"/>
  <c r="K13" i="6" s="1"/>
  <c r="L13" i="6" s="1"/>
  <c r="M13" i="6" s="1"/>
  <c r="N13" i="6" s="1"/>
  <c r="O13" i="6" s="1"/>
  <c r="D12" i="6"/>
  <c r="E12" i="6" s="1"/>
  <c r="F12" i="6" s="1"/>
  <c r="G12" i="6" s="1"/>
  <c r="H12" i="6" s="1"/>
  <c r="I12" i="6" s="1"/>
  <c r="J12" i="6" s="1"/>
  <c r="K12" i="6" s="1"/>
  <c r="L12" i="6" s="1"/>
  <c r="M12" i="6" s="1"/>
  <c r="N12" i="6" s="1"/>
  <c r="O12" i="6" s="1"/>
  <c r="D11" i="6"/>
  <c r="E11" i="6" s="1"/>
  <c r="F11" i="6" s="1"/>
  <c r="G11" i="6" s="1"/>
  <c r="H11" i="6" s="1"/>
  <c r="I11" i="6" s="1"/>
  <c r="J11" i="6" s="1"/>
  <c r="K11" i="6" s="1"/>
  <c r="L11" i="6" s="1"/>
  <c r="M11" i="6" s="1"/>
  <c r="N11" i="6" s="1"/>
  <c r="O11" i="6" s="1"/>
  <c r="D10" i="6"/>
  <c r="E10" i="6" s="1"/>
  <c r="F10" i="6" s="1"/>
  <c r="G10" i="6" s="1"/>
  <c r="H10" i="6" s="1"/>
  <c r="I10" i="6" s="1"/>
  <c r="J10" i="6" s="1"/>
  <c r="K10" i="6" s="1"/>
  <c r="L10" i="6" s="1"/>
  <c r="M10" i="6" s="1"/>
  <c r="N10" i="6" s="1"/>
  <c r="O10" i="6" s="1"/>
  <c r="D9" i="6"/>
  <c r="E9" i="6" s="1"/>
  <c r="F9" i="6" s="1"/>
  <c r="G9" i="6" s="1"/>
  <c r="H9" i="6" s="1"/>
  <c r="I9" i="6" s="1"/>
  <c r="J9" i="6" s="1"/>
  <c r="K9" i="6" s="1"/>
  <c r="L9" i="6" s="1"/>
  <c r="M9" i="6" s="1"/>
  <c r="N9" i="6" s="1"/>
  <c r="O9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D7" i="6"/>
  <c r="D6" i="6"/>
  <c r="D5" i="6"/>
  <c r="D4" i="6"/>
  <c r="D3" i="6"/>
  <c r="D2" i="6"/>
  <c r="C22" i="4"/>
  <c r="C21" i="4"/>
  <c r="C20" i="4"/>
  <c r="C19" i="4"/>
  <c r="D19" i="4" s="1"/>
  <c r="E19" i="4" s="1"/>
  <c r="F19" i="4" s="1"/>
  <c r="G19" i="4" s="1"/>
  <c r="H19" i="4" s="1"/>
  <c r="I19" i="4" s="1"/>
  <c r="J19" i="4" s="1"/>
  <c r="K19" i="4" s="1"/>
  <c r="L19" i="4" s="1"/>
  <c r="M19" i="4" s="1"/>
  <c r="N19" i="4" s="1"/>
  <c r="C18" i="4"/>
  <c r="D18" i="4" s="1"/>
  <c r="E18" i="4" s="1"/>
  <c r="F18" i="4" s="1"/>
  <c r="G18" i="4" s="1"/>
  <c r="H18" i="4" s="1"/>
  <c r="I18" i="4" s="1"/>
  <c r="J18" i="4" s="1"/>
  <c r="K18" i="4" s="1"/>
  <c r="L18" i="4" s="1"/>
  <c r="M18" i="4" s="1"/>
  <c r="N18" i="4" s="1"/>
  <c r="C17" i="4"/>
  <c r="C16" i="4"/>
  <c r="D16" i="4" s="1"/>
  <c r="E16" i="4" s="1"/>
  <c r="F16" i="4" s="1"/>
  <c r="G16" i="4" s="1"/>
  <c r="H16" i="4" s="1"/>
  <c r="I16" i="4" s="1"/>
  <c r="J16" i="4" s="1"/>
  <c r="K16" i="4" s="1"/>
  <c r="L16" i="4" s="1"/>
  <c r="M16" i="4" s="1"/>
  <c r="N16" i="4" s="1"/>
  <c r="D22" i="4"/>
  <c r="E22" i="4" s="1"/>
  <c r="F22" i="4" s="1"/>
  <c r="G22" i="4" s="1"/>
  <c r="H22" i="4" s="1"/>
  <c r="I22" i="4" s="1"/>
  <c r="J22" i="4" s="1"/>
  <c r="K22" i="4" s="1"/>
  <c r="L22" i="4" s="1"/>
  <c r="M22" i="4" s="1"/>
  <c r="N22" i="4" s="1"/>
  <c r="C15" i="4"/>
  <c r="C14" i="4"/>
  <c r="D14" i="4" s="1"/>
  <c r="E14" i="4" s="1"/>
  <c r="F14" i="4" s="1"/>
  <c r="G14" i="4" s="1"/>
  <c r="H14" i="4" s="1"/>
  <c r="I14" i="4" s="1"/>
  <c r="J14" i="4" s="1"/>
  <c r="K14" i="4" s="1"/>
  <c r="L14" i="4" s="1"/>
  <c r="M14" i="4" s="1"/>
  <c r="N14" i="4" s="1"/>
  <c r="C13" i="4"/>
  <c r="D13" i="4" s="1"/>
  <c r="E13" i="4" s="1"/>
  <c r="F13" i="4" s="1"/>
  <c r="G13" i="4" s="1"/>
  <c r="H13" i="4" s="1"/>
  <c r="I13" i="4" s="1"/>
  <c r="J13" i="4" s="1"/>
  <c r="K13" i="4" s="1"/>
  <c r="L13" i="4" s="1"/>
  <c r="M13" i="4" s="1"/>
  <c r="N13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C10" i="4"/>
  <c r="C9" i="4"/>
  <c r="D9" i="4"/>
  <c r="E9" i="4" s="1"/>
  <c r="F9" i="4" s="1"/>
  <c r="G9" i="4" s="1"/>
  <c r="H9" i="4" s="1"/>
  <c r="I9" i="4" s="1"/>
  <c r="J9" i="4" s="1"/>
  <c r="K9" i="4" s="1"/>
  <c r="L9" i="4" s="1"/>
  <c r="M9" i="4" s="1"/>
  <c r="N9" i="4" s="1"/>
  <c r="D21" i="4"/>
  <c r="E21" i="4" s="1"/>
  <c r="F21" i="4" s="1"/>
  <c r="G21" i="4" s="1"/>
  <c r="H21" i="4" s="1"/>
  <c r="I21" i="4" s="1"/>
  <c r="J21" i="4" s="1"/>
  <c r="K21" i="4" s="1"/>
  <c r="L21" i="4" s="1"/>
  <c r="M21" i="4" s="1"/>
  <c r="N21" i="4" s="1"/>
  <c r="D20" i="4"/>
  <c r="E20" i="4" s="1"/>
  <c r="F20" i="4" s="1"/>
  <c r="G20" i="4" s="1"/>
  <c r="H20" i="4" s="1"/>
  <c r="I20" i="4" s="1"/>
  <c r="J20" i="4" s="1"/>
  <c r="K20" i="4" s="1"/>
  <c r="L20" i="4" s="1"/>
  <c r="M20" i="4" s="1"/>
  <c r="N20" i="4" s="1"/>
  <c r="D17" i="4"/>
  <c r="E17" i="4" s="1"/>
  <c r="F17" i="4" s="1"/>
  <c r="G17" i="4" s="1"/>
  <c r="H17" i="4" s="1"/>
  <c r="I17" i="4" s="1"/>
  <c r="J17" i="4" s="1"/>
  <c r="K17" i="4" s="1"/>
  <c r="L17" i="4" s="1"/>
  <c r="M17" i="4" s="1"/>
  <c r="N17" i="4" s="1"/>
  <c r="D15" i="4"/>
  <c r="E15" i="4" s="1"/>
  <c r="F15" i="4" s="1"/>
  <c r="G15" i="4" s="1"/>
  <c r="H15" i="4" s="1"/>
  <c r="I15" i="4" s="1"/>
  <c r="J15" i="4" s="1"/>
  <c r="K15" i="4" s="1"/>
  <c r="L15" i="4" s="1"/>
  <c r="M15" i="4" s="1"/>
  <c r="N15" i="4" s="1"/>
  <c r="D10" i="4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D8" i="4"/>
  <c r="E8" i="4" s="1"/>
  <c r="F8" i="4" s="1"/>
  <c r="G8" i="4" s="1"/>
  <c r="H8" i="4" s="1"/>
  <c r="I8" i="4" s="1"/>
  <c r="J8" i="4" s="1"/>
  <c r="K8" i="4" s="1"/>
  <c r="L8" i="4" s="1"/>
  <c r="M8" i="4" s="1"/>
  <c r="N8" i="4" s="1"/>
  <c r="D6" i="4"/>
  <c r="E6" i="4" s="1"/>
  <c r="F6" i="4" s="1"/>
  <c r="G6" i="4" s="1"/>
  <c r="H6" i="4" s="1"/>
  <c r="I6" i="4" s="1"/>
  <c r="J6" i="4" s="1"/>
  <c r="K6" i="4" s="1"/>
  <c r="L6" i="4" s="1"/>
  <c r="M6" i="4" s="1"/>
  <c r="N6" i="4" s="1"/>
  <c r="C8" i="4"/>
  <c r="C7" i="4"/>
  <c r="D7" i="4" s="1"/>
  <c r="E7" i="4" s="1"/>
  <c r="F7" i="4" s="1"/>
  <c r="G7" i="4" s="1"/>
  <c r="H7" i="4" s="1"/>
  <c r="I7" i="4" s="1"/>
  <c r="J7" i="4" s="1"/>
  <c r="K7" i="4" s="1"/>
  <c r="L7" i="4" s="1"/>
  <c r="M7" i="4" s="1"/>
  <c r="N7" i="4" s="1"/>
  <c r="C6" i="4"/>
  <c r="C5" i="4"/>
  <c r="D5" i="4" s="1"/>
  <c r="E5" i="4" s="1"/>
  <c r="F5" i="4" s="1"/>
  <c r="G5" i="4" s="1"/>
  <c r="H5" i="4" s="1"/>
  <c r="I5" i="4" s="1"/>
  <c r="J5" i="4" s="1"/>
  <c r="K5" i="4" s="1"/>
  <c r="L5" i="4" s="1"/>
  <c r="M5" i="4" s="1"/>
  <c r="N5" i="4" s="1"/>
  <c r="C4" i="4"/>
  <c r="D4" i="4" s="1"/>
  <c r="E4" i="4" s="1"/>
  <c r="F4" i="4" s="1"/>
  <c r="G4" i="4" s="1"/>
  <c r="H4" i="4" s="1"/>
  <c r="I4" i="4" s="1"/>
  <c r="J4" i="4" s="1"/>
  <c r="K4" i="4" s="1"/>
  <c r="L4" i="4" s="1"/>
  <c r="M4" i="4" s="1"/>
  <c r="N4" i="4" s="1"/>
  <c r="C3" i="4"/>
  <c r="D3" i="4" s="1"/>
  <c r="E3" i="4" s="1"/>
  <c r="F3" i="4" s="1"/>
  <c r="G3" i="4" s="1"/>
  <c r="H3" i="4" s="1"/>
  <c r="I3" i="4" s="1"/>
  <c r="J3" i="4" s="1"/>
  <c r="K3" i="4" s="1"/>
  <c r="L3" i="4" s="1"/>
  <c r="M3" i="4" s="1"/>
  <c r="N3" i="4" s="1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36" i="3"/>
  <c r="N36" i="3"/>
  <c r="M36" i="3"/>
  <c r="L36" i="3"/>
  <c r="K36" i="3"/>
  <c r="J36" i="3"/>
  <c r="I36" i="3"/>
  <c r="H36" i="3"/>
  <c r="G36" i="3"/>
  <c r="F36" i="3"/>
  <c r="E36" i="3"/>
  <c r="D36" i="3"/>
  <c r="O35" i="3"/>
  <c r="N35" i="3"/>
  <c r="M35" i="3"/>
  <c r="L35" i="3"/>
  <c r="K35" i="3"/>
  <c r="J35" i="3"/>
  <c r="I35" i="3"/>
  <c r="H35" i="3"/>
  <c r="G35" i="3"/>
  <c r="F35" i="3"/>
  <c r="E35" i="3"/>
  <c r="D35" i="3"/>
  <c r="O34" i="3"/>
  <c r="N34" i="3"/>
  <c r="M34" i="3"/>
  <c r="L34" i="3"/>
  <c r="K34" i="3"/>
  <c r="J34" i="3"/>
  <c r="I34" i="3"/>
  <c r="H34" i="3"/>
  <c r="G34" i="3"/>
  <c r="F34" i="3"/>
  <c r="E34" i="3"/>
  <c r="D34" i="3"/>
  <c r="O33" i="3"/>
  <c r="N33" i="3"/>
  <c r="M33" i="3"/>
  <c r="L33" i="3"/>
  <c r="K33" i="3"/>
  <c r="J33" i="3"/>
  <c r="I33" i="3"/>
  <c r="H33" i="3"/>
  <c r="G33" i="3"/>
  <c r="F33" i="3"/>
  <c r="E33" i="3"/>
  <c r="D33" i="3"/>
  <c r="O32" i="3"/>
  <c r="N32" i="3"/>
  <c r="M32" i="3"/>
  <c r="L32" i="3"/>
  <c r="K32" i="3"/>
  <c r="J32" i="3"/>
  <c r="I32" i="3"/>
  <c r="H32" i="3"/>
  <c r="G32" i="3"/>
  <c r="F32" i="3"/>
  <c r="E32" i="3"/>
  <c r="D32" i="3"/>
  <c r="O31" i="3"/>
  <c r="N31" i="3"/>
  <c r="M31" i="3"/>
  <c r="L31" i="3"/>
  <c r="K31" i="3"/>
  <c r="J31" i="3"/>
  <c r="I31" i="3"/>
  <c r="H31" i="3"/>
  <c r="G31" i="3"/>
  <c r="F31" i="3"/>
  <c r="E31" i="3"/>
  <c r="D31" i="3"/>
  <c r="O30" i="3"/>
  <c r="N30" i="3"/>
  <c r="M30" i="3"/>
  <c r="L30" i="3"/>
  <c r="K30" i="3"/>
  <c r="J30" i="3"/>
  <c r="I30" i="3"/>
  <c r="H30" i="3"/>
  <c r="G30" i="3"/>
  <c r="F30" i="3"/>
  <c r="E30" i="3"/>
  <c r="D30" i="3"/>
  <c r="O29" i="3"/>
  <c r="N29" i="3"/>
  <c r="M29" i="3"/>
  <c r="L29" i="3"/>
  <c r="K29" i="3"/>
  <c r="J29" i="3"/>
  <c r="I29" i="3"/>
  <c r="H29" i="3"/>
  <c r="G29" i="3"/>
  <c r="F29" i="3"/>
  <c r="E29" i="3"/>
  <c r="D29" i="3"/>
  <c r="O28" i="3"/>
  <c r="N28" i="3"/>
  <c r="M28" i="3"/>
  <c r="L28" i="3"/>
  <c r="K28" i="3"/>
  <c r="J28" i="3"/>
  <c r="I28" i="3"/>
  <c r="H28" i="3"/>
  <c r="G28" i="3"/>
  <c r="F28" i="3"/>
  <c r="E28" i="3"/>
  <c r="D28" i="3"/>
  <c r="O27" i="3"/>
  <c r="N27" i="3"/>
  <c r="M27" i="3"/>
  <c r="L27" i="3"/>
  <c r="K27" i="3"/>
  <c r="J27" i="3"/>
  <c r="I27" i="3"/>
  <c r="H27" i="3"/>
  <c r="G27" i="3"/>
  <c r="F27" i="3"/>
  <c r="E27" i="3"/>
  <c r="D27" i="3"/>
  <c r="O26" i="3"/>
  <c r="N26" i="3"/>
  <c r="M26" i="3"/>
  <c r="L26" i="3"/>
  <c r="K26" i="3"/>
  <c r="J26" i="3"/>
  <c r="I26" i="3"/>
  <c r="H26" i="3"/>
  <c r="G26" i="3"/>
  <c r="F26" i="3"/>
  <c r="E26" i="3"/>
  <c r="D26" i="3"/>
  <c r="O25" i="3"/>
  <c r="N25" i="3"/>
  <c r="M25" i="3"/>
  <c r="L25" i="3"/>
  <c r="K25" i="3"/>
  <c r="J25" i="3"/>
  <c r="I25" i="3"/>
  <c r="H25" i="3"/>
  <c r="G25" i="3"/>
  <c r="F25" i="3"/>
  <c r="E25" i="3"/>
  <c r="D25" i="3"/>
  <c r="O24" i="3"/>
  <c r="N24" i="3"/>
  <c r="M24" i="3"/>
  <c r="L24" i="3"/>
  <c r="K24" i="3"/>
  <c r="J24" i="3"/>
  <c r="I24" i="3"/>
  <c r="H24" i="3"/>
  <c r="G24" i="3"/>
  <c r="F24" i="3"/>
  <c r="E24" i="3"/>
  <c r="D24" i="3"/>
  <c r="O23" i="3"/>
  <c r="N23" i="3"/>
  <c r="M23" i="3"/>
  <c r="L23" i="3"/>
  <c r="K23" i="3"/>
  <c r="J23" i="3"/>
  <c r="I23" i="3"/>
  <c r="H23" i="3"/>
  <c r="G23" i="3"/>
  <c r="F23" i="3"/>
  <c r="E23" i="3"/>
  <c r="D23" i="3"/>
  <c r="O22" i="3"/>
  <c r="N22" i="3"/>
  <c r="M22" i="3"/>
  <c r="L22" i="3"/>
  <c r="K22" i="3"/>
  <c r="J22" i="3"/>
  <c r="I22" i="3"/>
  <c r="H22" i="3"/>
  <c r="G22" i="3"/>
  <c r="F22" i="3"/>
  <c r="E22" i="3"/>
  <c r="D22" i="3"/>
  <c r="O21" i="3"/>
  <c r="N21" i="3"/>
  <c r="M21" i="3"/>
  <c r="L21" i="3"/>
  <c r="K21" i="3"/>
  <c r="J21" i="3"/>
  <c r="I21" i="3"/>
  <c r="H21" i="3"/>
  <c r="G21" i="3"/>
  <c r="F21" i="3"/>
  <c r="E21" i="3"/>
  <c r="D21" i="3"/>
  <c r="O20" i="3"/>
  <c r="N20" i="3"/>
  <c r="M20" i="3"/>
  <c r="L20" i="3"/>
  <c r="K20" i="3"/>
  <c r="J20" i="3"/>
  <c r="I20" i="3"/>
  <c r="H20" i="3"/>
  <c r="G20" i="3"/>
  <c r="F20" i="3"/>
  <c r="E20" i="3"/>
  <c r="D20" i="3"/>
  <c r="O19" i="3"/>
  <c r="N19" i="3"/>
  <c r="M19" i="3"/>
  <c r="L19" i="3"/>
  <c r="K19" i="3"/>
  <c r="J19" i="3"/>
  <c r="I19" i="3"/>
  <c r="H19" i="3"/>
  <c r="G19" i="3"/>
  <c r="F19" i="3"/>
  <c r="E19" i="3"/>
  <c r="D19" i="3"/>
  <c r="O18" i="3"/>
  <c r="N18" i="3"/>
  <c r="M18" i="3"/>
  <c r="L18" i="3"/>
  <c r="K18" i="3"/>
  <c r="J18" i="3"/>
  <c r="I18" i="3"/>
  <c r="H18" i="3"/>
  <c r="G18" i="3"/>
  <c r="F18" i="3"/>
  <c r="E18" i="3"/>
  <c r="D18" i="3"/>
  <c r="O17" i="3"/>
  <c r="N17" i="3"/>
  <c r="M17" i="3"/>
  <c r="L17" i="3"/>
  <c r="K17" i="3"/>
  <c r="J17" i="3"/>
  <c r="I17" i="3"/>
  <c r="H17" i="3"/>
  <c r="G17" i="3"/>
  <c r="F17" i="3"/>
  <c r="E17" i="3"/>
  <c r="D17" i="3"/>
  <c r="O16" i="3"/>
  <c r="N16" i="3"/>
  <c r="M16" i="3"/>
  <c r="L16" i="3"/>
  <c r="K16" i="3"/>
  <c r="J16" i="3"/>
  <c r="I16" i="3"/>
  <c r="H16" i="3"/>
  <c r="G16" i="3"/>
  <c r="F16" i="3"/>
  <c r="E16" i="3"/>
  <c r="D16" i="3"/>
  <c r="O15" i="3"/>
  <c r="N15" i="3"/>
  <c r="M15" i="3"/>
  <c r="L15" i="3"/>
  <c r="K15" i="3"/>
  <c r="J15" i="3"/>
  <c r="I15" i="3"/>
  <c r="H15" i="3"/>
  <c r="G15" i="3"/>
  <c r="F15" i="3"/>
  <c r="E15" i="3"/>
  <c r="D15" i="3"/>
  <c r="O14" i="3"/>
  <c r="N14" i="3"/>
  <c r="M14" i="3"/>
  <c r="L14" i="3"/>
  <c r="K14" i="3"/>
  <c r="J14" i="3"/>
  <c r="I14" i="3"/>
  <c r="H14" i="3"/>
  <c r="G14" i="3"/>
  <c r="F14" i="3"/>
  <c r="E14" i="3"/>
  <c r="D14" i="3"/>
  <c r="O13" i="3"/>
  <c r="N13" i="3"/>
  <c r="M13" i="3"/>
  <c r="L13" i="3"/>
  <c r="K13" i="3"/>
  <c r="J13" i="3"/>
  <c r="I13" i="3"/>
  <c r="H13" i="3"/>
  <c r="G13" i="3"/>
  <c r="F13" i="3"/>
  <c r="E13" i="3"/>
  <c r="D13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M10" i="3"/>
  <c r="L10" i="3"/>
  <c r="K10" i="3"/>
  <c r="J10" i="3"/>
  <c r="I10" i="3"/>
  <c r="H10" i="3"/>
  <c r="G10" i="3"/>
  <c r="F10" i="3"/>
  <c r="E10" i="3"/>
  <c r="D10" i="3"/>
  <c r="O9" i="3"/>
  <c r="N9" i="3"/>
  <c r="M9" i="3"/>
  <c r="L9" i="3"/>
  <c r="K9" i="3"/>
  <c r="J9" i="3"/>
  <c r="I9" i="3"/>
  <c r="H9" i="3"/>
  <c r="G9" i="3"/>
  <c r="F9" i="3"/>
  <c r="E9" i="3"/>
  <c r="D9" i="3"/>
  <c r="O8" i="3"/>
  <c r="N8" i="3"/>
  <c r="M8" i="3"/>
  <c r="L8" i="3"/>
  <c r="K8" i="3"/>
  <c r="J8" i="3"/>
  <c r="I8" i="3"/>
  <c r="H8" i="3"/>
  <c r="G8" i="3"/>
  <c r="F8" i="3"/>
  <c r="E8" i="3"/>
  <c r="D8" i="3"/>
  <c r="O7" i="3"/>
  <c r="N7" i="3"/>
  <c r="M7" i="3"/>
  <c r="L7" i="3"/>
  <c r="K7" i="3"/>
  <c r="J7" i="3"/>
  <c r="I7" i="3"/>
  <c r="H7" i="3"/>
  <c r="G7" i="3"/>
  <c r="F7" i="3"/>
  <c r="E7" i="3"/>
  <c r="D7" i="3"/>
  <c r="O6" i="3"/>
  <c r="N6" i="3"/>
  <c r="M6" i="3"/>
  <c r="L6" i="3"/>
  <c r="K6" i="3"/>
  <c r="J6" i="3"/>
  <c r="I6" i="3"/>
  <c r="H6" i="3"/>
  <c r="G6" i="3"/>
  <c r="F6" i="3"/>
  <c r="E6" i="3"/>
  <c r="D6" i="3"/>
  <c r="O5" i="3"/>
  <c r="N5" i="3"/>
  <c r="M5" i="3"/>
  <c r="L5" i="3"/>
  <c r="K5" i="3"/>
  <c r="J5" i="3"/>
  <c r="I5" i="3"/>
  <c r="H5" i="3"/>
  <c r="G5" i="3"/>
  <c r="F5" i="3"/>
  <c r="E5" i="3"/>
  <c r="D5" i="3"/>
  <c r="O4" i="3"/>
  <c r="N4" i="3"/>
  <c r="M4" i="3"/>
  <c r="L4" i="3"/>
  <c r="K4" i="3"/>
  <c r="J4" i="3"/>
  <c r="I4" i="3"/>
  <c r="H4" i="3"/>
  <c r="G4" i="3"/>
  <c r="F4" i="3"/>
  <c r="E4" i="3"/>
  <c r="D4" i="3"/>
  <c r="O3" i="3"/>
  <c r="N3" i="3"/>
  <c r="M3" i="3"/>
  <c r="L3" i="3"/>
  <c r="K3" i="3"/>
  <c r="J3" i="3"/>
  <c r="I3" i="3"/>
  <c r="H3" i="3"/>
  <c r="G3" i="3"/>
  <c r="F3" i="3"/>
  <c r="E3" i="3"/>
  <c r="D3" i="3"/>
  <c r="O2" i="3"/>
  <c r="N2" i="3"/>
  <c r="M2" i="3"/>
  <c r="L2" i="3"/>
  <c r="K2" i="3"/>
  <c r="J2" i="3"/>
  <c r="I2" i="3"/>
  <c r="H2" i="3"/>
  <c r="G2" i="3"/>
  <c r="F2" i="3"/>
  <c r="E2" i="3"/>
  <c r="D2" i="3"/>
  <c r="D2" i="2"/>
  <c r="E2" i="2"/>
  <c r="F2" i="2"/>
  <c r="G2" i="2"/>
  <c r="H2" i="2"/>
  <c r="I2" i="2"/>
  <c r="J2" i="2"/>
  <c r="K2" i="2"/>
  <c r="L2" i="2"/>
  <c r="M2" i="2"/>
  <c r="N2" i="2"/>
  <c r="D3" i="2"/>
  <c r="E3" i="2"/>
  <c r="F3" i="2"/>
  <c r="G3" i="2"/>
  <c r="H3" i="2"/>
  <c r="I3" i="2"/>
  <c r="J3" i="2"/>
  <c r="K3" i="2"/>
  <c r="L3" i="2"/>
  <c r="M3" i="2"/>
  <c r="N3" i="2"/>
  <c r="D4" i="2"/>
  <c r="E4" i="2"/>
  <c r="F4" i="2"/>
  <c r="G4" i="2"/>
  <c r="H4" i="2"/>
  <c r="I4" i="2"/>
  <c r="J4" i="2"/>
  <c r="K4" i="2"/>
  <c r="L4" i="2"/>
  <c r="M4" i="2"/>
  <c r="N4" i="2"/>
  <c r="D5" i="2"/>
  <c r="E5" i="2"/>
  <c r="F5" i="2"/>
  <c r="G5" i="2"/>
  <c r="H5" i="2"/>
  <c r="I5" i="2"/>
  <c r="J5" i="2"/>
  <c r="K5" i="2"/>
  <c r="L5" i="2"/>
  <c r="M5" i="2"/>
  <c r="N5" i="2"/>
  <c r="D6" i="2"/>
  <c r="E6" i="2"/>
  <c r="F6" i="2"/>
  <c r="G6" i="2"/>
  <c r="H6" i="2"/>
  <c r="I6" i="2"/>
  <c r="J6" i="2"/>
  <c r="K6" i="2"/>
  <c r="L6" i="2"/>
  <c r="M6" i="2"/>
  <c r="N6" i="2"/>
  <c r="D7" i="2"/>
  <c r="E7" i="2"/>
  <c r="F7" i="2"/>
  <c r="G7" i="2"/>
  <c r="H7" i="2"/>
  <c r="I7" i="2"/>
  <c r="J7" i="2"/>
  <c r="K7" i="2"/>
  <c r="L7" i="2"/>
  <c r="M7" i="2"/>
  <c r="N7" i="2"/>
  <c r="D8" i="2"/>
  <c r="E8" i="2"/>
  <c r="F8" i="2"/>
  <c r="G8" i="2"/>
  <c r="H8" i="2"/>
  <c r="I8" i="2"/>
  <c r="J8" i="2"/>
  <c r="K8" i="2"/>
  <c r="L8" i="2"/>
  <c r="M8" i="2"/>
  <c r="N8" i="2"/>
  <c r="C3" i="2"/>
  <c r="C4" i="2"/>
  <c r="C5" i="2"/>
  <c r="C6" i="2"/>
  <c r="C7" i="2"/>
  <c r="C8" i="2"/>
  <c r="C2" i="2"/>
  <c r="N10" i="1"/>
  <c r="M10" i="1"/>
  <c r="L10" i="1"/>
  <c r="K10" i="1"/>
  <c r="J10" i="1"/>
  <c r="I10" i="1"/>
  <c r="H10" i="1"/>
  <c r="G10" i="1"/>
  <c r="F10" i="1"/>
  <c r="E10" i="1"/>
  <c r="D10" i="1"/>
  <c r="N9" i="1"/>
  <c r="M9" i="1"/>
  <c r="L9" i="1"/>
  <c r="K9" i="1"/>
  <c r="J9" i="1"/>
  <c r="I9" i="1"/>
  <c r="H9" i="1"/>
  <c r="G9" i="1"/>
  <c r="F9" i="1"/>
  <c r="E9" i="1"/>
  <c r="D9" i="1"/>
  <c r="N8" i="1"/>
  <c r="M8" i="1"/>
  <c r="L8" i="1"/>
  <c r="K8" i="1"/>
  <c r="J8" i="1"/>
  <c r="I8" i="1"/>
  <c r="H8" i="1"/>
  <c r="G8" i="1"/>
  <c r="F8" i="1"/>
  <c r="E8" i="1"/>
  <c r="D8" i="1"/>
  <c r="C10" i="1"/>
  <c r="C9" i="1"/>
  <c r="C8" i="1"/>
  <c r="N7" i="1"/>
  <c r="M7" i="1"/>
  <c r="L7" i="1"/>
  <c r="K7" i="1"/>
  <c r="J7" i="1"/>
  <c r="I7" i="1"/>
  <c r="H7" i="1"/>
  <c r="G7" i="1"/>
  <c r="F7" i="1"/>
  <c r="E7" i="1"/>
  <c r="D7" i="1"/>
  <c r="N6" i="1"/>
  <c r="M6" i="1"/>
  <c r="L6" i="1"/>
  <c r="K6" i="1"/>
  <c r="J6" i="1"/>
  <c r="I6" i="1"/>
  <c r="H6" i="1"/>
  <c r="G6" i="1"/>
  <c r="F6" i="1"/>
  <c r="E6" i="1"/>
  <c r="D6" i="1"/>
  <c r="N5" i="1"/>
  <c r="M5" i="1"/>
  <c r="L5" i="1"/>
  <c r="K5" i="1"/>
  <c r="J5" i="1"/>
  <c r="I5" i="1"/>
  <c r="H5" i="1"/>
  <c r="G5" i="1"/>
  <c r="F5" i="1"/>
  <c r="E5" i="1"/>
  <c r="D5" i="1"/>
  <c r="C7" i="1"/>
  <c r="C6" i="1"/>
  <c r="C5" i="1"/>
  <c r="N4" i="1"/>
  <c r="M4" i="1"/>
  <c r="L4" i="1"/>
  <c r="K4" i="1"/>
  <c r="N3" i="1"/>
  <c r="M3" i="1"/>
  <c r="L3" i="1"/>
  <c r="K3" i="1"/>
  <c r="J4" i="1"/>
  <c r="I4" i="1"/>
  <c r="H4" i="1"/>
  <c r="G4" i="1"/>
  <c r="F4" i="1"/>
  <c r="E4" i="1"/>
  <c r="D4" i="1"/>
  <c r="J3" i="1"/>
  <c r="I3" i="1"/>
  <c r="H3" i="1"/>
  <c r="G3" i="1"/>
  <c r="F3" i="1"/>
  <c r="E3" i="1"/>
  <c r="D3" i="1"/>
  <c r="C4" i="1"/>
  <c r="C3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<sst xmlns="http://schemas.openxmlformats.org/spreadsheetml/2006/main" count="338" uniqueCount="39">
  <si>
    <t>FOCO</t>
  </si>
  <si>
    <t>Bonda</t>
  </si>
  <si>
    <t>ICBC</t>
  </si>
  <si>
    <t>Partner</t>
  </si>
  <si>
    <t>Pais</t>
  </si>
  <si>
    <t>Argentina</t>
  </si>
  <si>
    <t>Brasil</t>
  </si>
  <si>
    <t>BRB</t>
  </si>
  <si>
    <t>New partner</t>
  </si>
  <si>
    <t>C6</t>
  </si>
  <si>
    <t>Mexico</t>
  </si>
  <si>
    <t>BBVA</t>
  </si>
  <si>
    <t>Otros</t>
  </si>
  <si>
    <t>INVEX</t>
  </si>
  <si>
    <t>Metrica</t>
  </si>
  <si>
    <t>Cantidad de puntos</t>
  </si>
  <si>
    <t>Colombia</t>
  </si>
  <si>
    <t>Ecuador</t>
  </si>
  <si>
    <t>Peru</t>
  </si>
  <si>
    <t>Uruguay</t>
  </si>
  <si>
    <t>Other Countries</t>
  </si>
  <si>
    <t>Tipo_punto</t>
  </si>
  <si>
    <t>IFOOD</t>
  </si>
  <si>
    <t>Puntos R&amp;B</t>
  </si>
  <si>
    <t>PONTOSBR</t>
  </si>
  <si>
    <t>FORTUNE</t>
  </si>
  <si>
    <t>Pasaporte D!</t>
  </si>
  <si>
    <t>SSP_Red</t>
  </si>
  <si>
    <t>SSP</t>
  </si>
  <si>
    <t>Precio Punto Pasivo</t>
  </si>
  <si>
    <t>Flights</t>
  </si>
  <si>
    <t>Regla de Acumulacion</t>
  </si>
  <si>
    <t>Hotels</t>
  </si>
  <si>
    <t>Vacation Rentals</t>
  </si>
  <si>
    <t>Cars</t>
  </si>
  <si>
    <t>Insurance</t>
  </si>
  <si>
    <t xml:space="preserve">     Dest. Serv.</t>
  </si>
  <si>
    <t xml:space="preserve">     Packages General</t>
  </si>
  <si>
    <t>Producto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</si>
</sst>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/>
      <top style="medium">
        <color indexed="64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3" fontId="0" fillId="0" borderId="0" xfId="0" applyNumberFormat="1"/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6/Budget/1.%20Input%20Cobrands%20&amp;%20Partners%20BUDGET.xlsx" TargetMode="External"/><Relationship Id="rId2" Type="http://schemas.openxmlformats.org/officeDocument/2006/relationships/externalLinkPath" Target="https://despegar365.sharepoint.com/sites/ControldeGestion/Documentos%20compartidos/Loyalty/2026/Budget/1.%20Input%20Cobrands%20&amp;%20Partners%20BUDGET.xlsx" TargetMode="External"/><Relationship Id="rId1" Type="http://schemas.openxmlformats.org/officeDocument/2006/relationships/externalLinkPath" Target="/sites/ControldeGestion/Documentos%20compartidos/Loyalty/2026/Budget/1.%20Input%20Cobrands%20&amp;%20Partners%20BUDGE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6/Budget/4.%20Breakage%20Calculado.xlsx" TargetMode="External"/><Relationship Id="rId2" Type="http://schemas.openxmlformats.org/officeDocument/2006/relationships/externalLinkPath" Target="https://despegar365.sharepoint.com/sites/ControldeGestion/Documentos%20compartidos/Loyalty/2026/Budget/4.%20Breakage%20Calculado.xlsx" TargetMode="External"/><Relationship Id="rId1" Type="http://schemas.openxmlformats.org/officeDocument/2006/relationships/externalLinkPath" Target="/sites/ControldeGestion/Documentos%20compartidos/Loyalty/2026/Budget/4.%20Breakage%20Calculado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6/Budget/10.%20Redenciones%20Marketing%20-%20R&amp;B.xlsx" TargetMode="External"/><Relationship Id="rId2" Type="http://schemas.openxmlformats.org/officeDocument/2006/relationships/externalLinkPath" Target="https://despegar365.sharepoint.com/sites/ControldeGestion/Documentos%20compartidos/Loyalty/2026/Budget/10.%20Redenciones%20Marketing%20-%20R&amp;B.xlsx" TargetMode="External"/><Relationship Id="rId1" Type="http://schemas.openxmlformats.org/officeDocument/2006/relationships/externalLinkPath" Target="/sites/ControldeGestion/Documentos%20compartidos/Loyalty/2026/Budget/10.%20Redenciones%20Marketing%20-%20R&amp;B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6/Budget/6.%20SSP%20&amp;%20Precio%20punto%20pasivo.xlsx" TargetMode="External"/><Relationship Id="rId2" Type="http://schemas.openxmlformats.org/officeDocument/2006/relationships/externalLinkPath" Target="https://despegar365.sharepoint.com/sites/ControldeGestion/Documentos%20compartidos/Loyalty/2026/Budget/6.%20SSP%20&amp;%20Precio%20punto%20pasivo.xlsx" TargetMode="External"/><Relationship Id="rId1" Type="http://schemas.openxmlformats.org/officeDocument/2006/relationships/externalLinkPath" Target="/sites/ControldeGestion/Documentos%20compartidos/Loyalty/2026/Budget/6.%20SSP%20&amp;%20Precio%20punto%20pasivo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6/Budget/8.%20Ratio%20acumulaciones.xlsx" TargetMode="External"/><Relationship Id="rId2" Type="http://schemas.openxmlformats.org/officeDocument/2006/relationships/externalLinkPath" Target="https://despegar365.sharepoint.com/sites/ControldeGestion/Documentos%20compartidos/Loyalty/2026/Budget/8.%20Ratio%20acumulaciones.xlsx" TargetMode="External"/><Relationship Id="rId1" Type="http://schemas.openxmlformats.org/officeDocument/2006/relationships/externalLinkPath" Target="/sites/ControldeGestion/Documentos%20compartidos/Loyalty/2026/Budget/8.%20Ratio%20acumulacio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e Ajuste Cobrand  Partners MX"/>
      <sheetName val="Pre Ajuste Cobrand  Partners AR"/>
      <sheetName val="Cobrand  Partners AR"/>
      <sheetName val="Cobrand  Partners BR"/>
      <sheetName val="Cobrand  Partners MX"/>
      <sheetName val="Argentina Orders 2025"/>
      <sheetName val="Brasil Orders 2025"/>
      <sheetName val="Mexico Orders 2025"/>
      <sheetName val="Pre Ajuste Cobrand  Partners BR"/>
      <sheetName val="Pre Ajustes Total Countries"/>
    </sheetNames>
    <sheetDataSet>
      <sheetData sheetId="0" refreshError="1"/>
      <sheetData sheetId="1" refreshError="1"/>
      <sheetData sheetId="2">
        <row r="14">
          <cell r="E14">
            <v>17901845.701049101</v>
          </cell>
          <cell r="F14">
            <v>22944946.29173233</v>
          </cell>
          <cell r="G14">
            <v>19523954.819251463</v>
          </cell>
          <cell r="H14">
            <v>23584069.905017525</v>
          </cell>
          <cell r="I14">
            <v>24971632.107553553</v>
          </cell>
          <cell r="J14">
            <v>19759406.544752035</v>
          </cell>
          <cell r="K14">
            <v>21113551.139610428</v>
          </cell>
          <cell r="L14">
            <v>27444993.462933652</v>
          </cell>
          <cell r="M14">
            <v>22955159.167749248</v>
          </cell>
          <cell r="N14">
            <v>21089421.035211958</v>
          </cell>
          <cell r="O14">
            <v>18021047.506174769</v>
          </cell>
          <cell r="P14">
            <v>19486525.762204051</v>
          </cell>
        </row>
        <row r="23">
          <cell r="E23">
            <v>2467106.081457268</v>
          </cell>
          <cell r="F23">
            <v>3162110.6270470112</v>
          </cell>
          <cell r="G23">
            <v>2690653.716552224</v>
          </cell>
          <cell r="H23">
            <v>3250190.1345721181</v>
          </cell>
          <cell r="I23">
            <v>3441414.1684199944</v>
          </cell>
          <cell r="J23">
            <v>2723102.0123074506</v>
          </cell>
          <cell r="K23">
            <v>2909720.6672180919</v>
          </cell>
          <cell r="L23">
            <v>3782275.3814703352</v>
          </cell>
          <cell r="M23">
            <v>3163518.0935703674</v>
          </cell>
          <cell r="N23">
            <v>2906395.2264617695</v>
          </cell>
          <cell r="O23">
            <v>2483533.6333006509</v>
          </cell>
          <cell r="P23">
            <v>2685495.5079626222</v>
          </cell>
        </row>
        <row r="50">
          <cell r="E50">
            <v>32640.312451157115</v>
          </cell>
          <cell r="F50">
            <v>41835.363159971399</v>
          </cell>
          <cell r="G50">
            <v>35597.892877900107</v>
          </cell>
          <cell r="H50">
            <v>43000.672859368417</v>
          </cell>
          <cell r="I50">
            <v>45530.605503885497</v>
          </cell>
          <cell r="J50">
            <v>36027.190393689358</v>
          </cell>
          <cell r="K50">
            <v>38496.1929433892</v>
          </cell>
          <cell r="L50">
            <v>50040.268294660898</v>
          </cell>
          <cell r="M50">
            <v>41853.984226747642</v>
          </cell>
          <cell r="N50">
            <v>38452.196689583994</v>
          </cell>
          <cell r="O50">
            <v>32857.652284659074</v>
          </cell>
          <cell r="P50">
            <v>35529.648734967508</v>
          </cell>
        </row>
      </sheetData>
      <sheetData sheetId="3">
        <row r="32">
          <cell r="E32">
            <v>5880025.1312179128</v>
          </cell>
          <cell r="F32">
            <v>6503030.7659793431</v>
          </cell>
          <cell r="G32">
            <v>6234791.4278760739</v>
          </cell>
          <cell r="H32">
            <v>5786618.8817598447</v>
          </cell>
          <cell r="I32">
            <v>6199468.0649851421</v>
          </cell>
          <cell r="J32">
            <v>6638933.6224284237</v>
          </cell>
          <cell r="K32">
            <v>8010759.9777936824</v>
          </cell>
          <cell r="L32">
            <v>9901522.8081066553</v>
          </cell>
          <cell r="M32">
            <v>6948176.0210865559</v>
          </cell>
          <cell r="N32">
            <v>7524185.3781307209</v>
          </cell>
          <cell r="O32">
            <v>6597714.7567447927</v>
          </cell>
          <cell r="P32">
            <v>7759852.6443376765</v>
          </cell>
        </row>
        <row r="48">
          <cell r="E48">
            <v>1312473.0007096624</v>
          </cell>
          <cell r="F48">
            <v>1451533.3034578923</v>
          </cell>
          <cell r="G48">
            <v>1391659.938781328</v>
          </cell>
          <cell r="H48">
            <v>1291623.9094599667</v>
          </cell>
          <cell r="I48">
            <v>1383775.4554578674</v>
          </cell>
          <cell r="J48">
            <v>1481868.0088083427</v>
          </cell>
          <cell r="K48">
            <v>1788071.6410887223</v>
          </cell>
          <cell r="L48">
            <v>2210106.4300824148</v>
          </cell>
          <cell r="M48">
            <v>1550893.6149675166</v>
          </cell>
          <cell r="N48">
            <v>1679463.9377817679</v>
          </cell>
          <cell r="O48">
            <v>1472667.597734855</v>
          </cell>
          <cell r="P48">
            <v>1732066.9313311544</v>
          </cell>
        </row>
        <row r="54">
          <cell r="H54">
            <v>1000000</v>
          </cell>
          <cell r="I54">
            <v>2500000</v>
          </cell>
          <cell r="J54">
            <v>3500000</v>
          </cell>
          <cell r="K54">
            <v>4500000</v>
          </cell>
          <cell r="L54">
            <v>4500000</v>
          </cell>
          <cell r="M54">
            <v>5500000</v>
          </cell>
          <cell r="N54">
            <v>9000000</v>
          </cell>
          <cell r="O54">
            <v>6000000</v>
          </cell>
          <cell r="P54">
            <v>6000000</v>
          </cell>
        </row>
      </sheetData>
      <sheetData sheetId="4">
        <row r="13">
          <cell r="E13">
            <v>60417620.001648858</v>
          </cell>
          <cell r="F13">
            <v>62201643.209435657</v>
          </cell>
          <cell r="G13">
            <v>58630149.859399192</v>
          </cell>
          <cell r="H13">
            <v>58901073.5889972</v>
          </cell>
          <cell r="I13">
            <v>57016453.613354795</v>
          </cell>
          <cell r="J13">
            <v>51191418.552347124</v>
          </cell>
          <cell r="K13">
            <v>55504637.005701959</v>
          </cell>
          <cell r="L13">
            <v>56663134.615149952</v>
          </cell>
          <cell r="M13">
            <v>49368324.487253256</v>
          </cell>
          <cell r="N13">
            <v>56176650.295272976</v>
          </cell>
          <cell r="O13">
            <v>51292297.763434552</v>
          </cell>
          <cell r="P13">
            <v>60477315.534699216</v>
          </cell>
        </row>
        <row r="32">
          <cell r="E32">
            <v>1024552.6095635176</v>
          </cell>
          <cell r="F32">
            <v>1054805.7978388912</v>
          </cell>
          <cell r="G32">
            <v>994240.96870926383</v>
          </cell>
          <cell r="H32">
            <v>998835.25120739511</v>
          </cell>
          <cell r="I32">
            <v>966876.15857800539</v>
          </cell>
          <cell r="J32">
            <v>868096.11937104037</v>
          </cell>
          <cell r="K32">
            <v>941239.00751992164</v>
          </cell>
          <cell r="L32">
            <v>960884.62992114574</v>
          </cell>
          <cell r="M32">
            <v>837180.37357005209</v>
          </cell>
          <cell r="N32">
            <v>952634.90443662519</v>
          </cell>
          <cell r="O32">
            <v>869806.8133534831</v>
          </cell>
          <cell r="P32">
            <v>1025564.9171347918</v>
          </cell>
        </row>
        <row r="38">
          <cell r="E38">
            <v>341517.53652117256</v>
          </cell>
          <cell r="F38">
            <v>351601.93261296372</v>
          </cell>
          <cell r="G38">
            <v>331413.65623642126</v>
          </cell>
          <cell r="H38">
            <v>332945.08373579837</v>
          </cell>
          <cell r="I38">
            <v>322292.05285933515</v>
          </cell>
          <cell r="J38">
            <v>289365.37312368012</v>
          </cell>
          <cell r="K38">
            <v>313746.33583997388</v>
          </cell>
          <cell r="L38">
            <v>320294.87664038193</v>
          </cell>
          <cell r="M38">
            <v>279060.12452335068</v>
          </cell>
          <cell r="N38">
            <v>317544.96814554173</v>
          </cell>
          <cell r="O38">
            <v>289935.60445116105</v>
          </cell>
          <cell r="P38">
            <v>341854.97237826395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SUMEN"/>
      <sheetName val="Instructivo"/>
      <sheetName val="Inputs EPM"/>
      <sheetName val="Precio Breakage"/>
      <sheetName val="Hoja1"/>
      <sheetName val="Cosecha"/>
      <sheetName val="Reales"/>
      <sheetName val="Diccionario"/>
    </sheetNames>
    <sheetDataSet>
      <sheetData sheetId="0" refreshError="1"/>
      <sheetData sheetId="1" refreshError="1"/>
      <sheetData sheetId="2">
        <row r="25">
          <cell r="M25">
            <v>28665895.822517976</v>
          </cell>
          <cell r="N25">
            <v>25249801.006061282</v>
          </cell>
          <cell r="O25">
            <v>22990219.349366732</v>
          </cell>
          <cell r="P25">
            <v>38999480.414044276</v>
          </cell>
          <cell r="Q25">
            <v>38717737.232454374</v>
          </cell>
          <cell r="R25">
            <v>35362904.584059671</v>
          </cell>
          <cell r="S25">
            <v>27968594.154943444</v>
          </cell>
          <cell r="T25">
            <v>27601932.987490788</v>
          </cell>
          <cell r="U25">
            <v>26364361.347940426</v>
          </cell>
          <cell r="V25">
            <v>35382016.648430139</v>
          </cell>
          <cell r="W25">
            <v>45096801.88551642</v>
          </cell>
          <cell r="X25">
            <v>37488540.949152388</v>
          </cell>
        </row>
        <row r="26">
          <cell r="M26">
            <v>100602234.93540369</v>
          </cell>
          <cell r="N26">
            <v>86755800.419792295</v>
          </cell>
          <cell r="O26">
            <v>79704881.42020835</v>
          </cell>
          <cell r="P26">
            <v>106302880.49227548</v>
          </cell>
          <cell r="Q26">
            <v>55547537.292097747</v>
          </cell>
          <cell r="R26">
            <v>63343411.582421564</v>
          </cell>
          <cell r="S26">
            <v>59148467.105889097</v>
          </cell>
          <cell r="T26">
            <v>51854269.021120116</v>
          </cell>
          <cell r="U26">
            <v>113284977.05805418</v>
          </cell>
          <cell r="V26">
            <v>74045877.099970251</v>
          </cell>
          <cell r="W26">
            <v>64097179.485806838</v>
          </cell>
          <cell r="X26">
            <v>68939196.628754735</v>
          </cell>
        </row>
        <row r="27">
          <cell r="M27">
            <v>14006446.211730789</v>
          </cell>
          <cell r="N27">
            <v>9490581.1724216305</v>
          </cell>
          <cell r="O27">
            <v>8704593.3901930228</v>
          </cell>
          <cell r="P27">
            <v>10090912.378884332</v>
          </cell>
          <cell r="Q27">
            <v>4764458.3496096786</v>
          </cell>
          <cell r="R27">
            <v>4850802.692267851</v>
          </cell>
          <cell r="S27">
            <v>6406285.1947859572</v>
          </cell>
          <cell r="T27">
            <v>5931847.0422854964</v>
          </cell>
          <cell r="U27">
            <v>8091578.3839183813</v>
          </cell>
          <cell r="V27">
            <v>9894276.744234208</v>
          </cell>
          <cell r="W27">
            <v>10154035.61155593</v>
          </cell>
          <cell r="X27">
            <v>9669079.9001500309</v>
          </cell>
        </row>
        <row r="28">
          <cell r="M28">
            <v>1869180.8542091574</v>
          </cell>
          <cell r="N28">
            <v>1296222.4079085982</v>
          </cell>
          <cell r="O28">
            <v>837528.0741595187</v>
          </cell>
          <cell r="P28">
            <v>851183.15340368776</v>
          </cell>
          <cell r="Q28">
            <v>583960.2674742667</v>
          </cell>
          <cell r="R28">
            <v>994092.5850947994</v>
          </cell>
          <cell r="S28">
            <v>838919.93959633016</v>
          </cell>
          <cell r="T28">
            <v>899626.6521172059</v>
          </cell>
          <cell r="U28">
            <v>723557.03782987304</v>
          </cell>
          <cell r="V28">
            <v>861871.17752580554</v>
          </cell>
          <cell r="W28">
            <v>1354970.5024670125</v>
          </cell>
          <cell r="X28">
            <v>1004365.8132138137</v>
          </cell>
        </row>
        <row r="29">
          <cell r="M29">
            <v>31283658.84</v>
          </cell>
          <cell r="N29">
            <v>31336712.144378342</v>
          </cell>
          <cell r="O29">
            <v>36071650.343096018</v>
          </cell>
          <cell r="P29">
            <v>33938776.766245976</v>
          </cell>
          <cell r="Q29">
            <v>22515167.41340635</v>
          </cell>
          <cell r="R29">
            <v>26615055.539529346</v>
          </cell>
          <cell r="S29">
            <v>29017079.73246827</v>
          </cell>
          <cell r="T29">
            <v>28970905.386019349</v>
          </cell>
          <cell r="U29">
            <v>29598412.051896498</v>
          </cell>
          <cell r="V29">
            <v>27516035.416542523</v>
          </cell>
          <cell r="W29">
            <v>31528692.676676594</v>
          </cell>
          <cell r="X29">
            <v>36642166.66299583</v>
          </cell>
        </row>
        <row r="30">
          <cell r="M30">
            <v>4890656.5745814154</v>
          </cell>
          <cell r="N30">
            <v>3384978.590872033</v>
          </cell>
          <cell r="O30">
            <v>2796920.9048145455</v>
          </cell>
          <cell r="P30">
            <v>3905493.5678281542</v>
          </cell>
          <cell r="Q30">
            <v>3273077.5139717832</v>
          </cell>
          <cell r="R30">
            <v>2883169.60273724</v>
          </cell>
          <cell r="S30">
            <v>2454120.2921668245</v>
          </cell>
          <cell r="T30">
            <v>2550709.4093114487</v>
          </cell>
          <cell r="U30">
            <v>2192249.2527827672</v>
          </cell>
          <cell r="V30">
            <v>2627141.4170239582</v>
          </cell>
          <cell r="W30">
            <v>3650857.1301619145</v>
          </cell>
          <cell r="X30">
            <v>2806728.2379650567</v>
          </cell>
        </row>
        <row r="31">
          <cell r="M31">
            <v>375093.64747755363</v>
          </cell>
          <cell r="N31">
            <v>246998.12017866422</v>
          </cell>
          <cell r="O31">
            <v>263260.73769930721</v>
          </cell>
          <cell r="P31">
            <v>403693.91953726346</v>
          </cell>
          <cell r="Q31">
            <v>319864.0458182795</v>
          </cell>
          <cell r="R31">
            <v>307551.60017359967</v>
          </cell>
          <cell r="S31">
            <v>263163.11194376729</v>
          </cell>
          <cell r="T31">
            <v>201646.224601272</v>
          </cell>
          <cell r="U31">
            <v>150578.57565467519</v>
          </cell>
          <cell r="V31">
            <v>305650.13195699896</v>
          </cell>
          <cell r="W31">
            <v>247004.03840368599</v>
          </cell>
          <cell r="X31">
            <v>259274.83049242262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structivo"/>
      <sheetName val="Inputs EPM R&amp;B"/>
      <sheetName val="Proyecciones R&amp;B"/>
      <sheetName val="Proyecciones Subs"/>
      <sheetName val="Inputs EPM Redenciones"/>
      <sheetName val="Proyecciones General"/>
      <sheetName val="Orders Reales"/>
      <sheetName val="OrdersEPM"/>
      <sheetName val="Base Total"/>
      <sheetName val="Reales penetracion"/>
      <sheetName val="Diccionario"/>
    </sheetNames>
    <sheetDataSet>
      <sheetData sheetId="0" refreshError="1"/>
      <sheetData sheetId="1" refreshError="1"/>
      <sheetData sheetId="2">
        <row r="368">
          <cell r="V368">
            <v>65678521.245162718</v>
          </cell>
          <cell r="W368">
            <v>72637277.32192415</v>
          </cell>
          <cell r="X368">
            <v>69641098.723606437</v>
          </cell>
          <cell r="Y368">
            <v>64635396.521390669</v>
          </cell>
          <cell r="Z368">
            <v>69246556.842673093</v>
          </cell>
          <cell r="AA368">
            <v>74155417.24716951</v>
          </cell>
          <cell r="AB368">
            <v>89478106.138262451</v>
          </cell>
          <cell r="AC368">
            <v>110597886.56398585</v>
          </cell>
          <cell r="AD368">
            <v>77609442.120907828</v>
          </cell>
          <cell r="AE368">
            <v>84043381.701591745</v>
          </cell>
          <cell r="AF368">
            <v>73694904.05375196</v>
          </cell>
          <cell r="AG368">
            <v>86675955.167810887</v>
          </cell>
        </row>
        <row r="369">
          <cell r="V369">
            <v>631918.62089705572</v>
          </cell>
          <cell r="W369">
            <v>698871.52208634617</v>
          </cell>
          <cell r="X369">
            <v>670044.12140929978</v>
          </cell>
          <cell r="Y369">
            <v>621882.31185152871</v>
          </cell>
          <cell r="Z369">
            <v>666248.08038159634</v>
          </cell>
          <cell r="AA369">
            <v>713478.13730395748</v>
          </cell>
          <cell r="AB369">
            <v>860903.69209607644</v>
          </cell>
          <cell r="AC369">
            <v>1064105.3212931515</v>
          </cell>
          <cell r="AD369">
            <v>746710.65523184242</v>
          </cell>
          <cell r="AE369">
            <v>808614.09260651097</v>
          </cell>
          <cell r="AF369">
            <v>709047.36059686553</v>
          </cell>
          <cell r="AG369">
            <v>833943.10675976286</v>
          </cell>
        </row>
        <row r="370">
          <cell r="V370">
            <v>722878.62246103934</v>
          </cell>
          <cell r="W370">
            <v>799468.89750749804</v>
          </cell>
          <cell r="X370">
            <v>766492.00617776706</v>
          </cell>
          <cell r="Y370">
            <v>711397.66111964907</v>
          </cell>
          <cell r="Z370">
            <v>762149.55318118271</v>
          </cell>
          <cell r="AA370">
            <v>816178.02671837073</v>
          </cell>
          <cell r="AB370">
            <v>984824.3973734976</v>
          </cell>
          <cell r="AC370">
            <v>1217275.3949201421</v>
          </cell>
          <cell r="AD370">
            <v>854194.11927554</v>
          </cell>
          <cell r="AE370">
            <v>925008.09761895309</v>
          </cell>
          <cell r="AF370">
            <v>811109.47254614462</v>
          </cell>
          <cell r="AG370">
            <v>953983.03561556851</v>
          </cell>
        </row>
        <row r="371"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13403197.404172868</v>
          </cell>
          <cell r="AD371">
            <v>9405375.6856596451</v>
          </cell>
          <cell r="AE371">
            <v>0</v>
          </cell>
          <cell r="AF371">
            <v>0</v>
          </cell>
          <cell r="AG371">
            <v>0</v>
          </cell>
        </row>
        <row r="372"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</row>
        <row r="373">
          <cell r="V373">
            <v>337311.65727275226</v>
          </cell>
          <cell r="W373">
            <v>347275.96392716101</v>
          </cell>
          <cell r="X373">
            <v>327334.53893045709</v>
          </cell>
          <cell r="Y373">
            <v>328845.02839287766</v>
          </cell>
          <cell r="Z373">
            <v>318325.07062799798</v>
          </cell>
          <cell r="AA373">
            <v>285801.42206741939</v>
          </cell>
          <cell r="AB373">
            <v>309880.77741627878</v>
          </cell>
          <cell r="AC373">
            <v>316352.58159293077</v>
          </cell>
          <cell r="AD373">
            <v>275629.55064773222</v>
          </cell>
          <cell r="AE373">
            <v>313636.33894276264</v>
          </cell>
          <cell r="AF373">
            <v>286358.44847693847</v>
          </cell>
          <cell r="AG373">
            <v>337651.36572680698</v>
          </cell>
        </row>
        <row r="374"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</row>
        <row r="375">
          <cell r="V375">
            <v>1020408.1632653062</v>
          </cell>
          <cell r="W375">
            <v>4081632.6530612246</v>
          </cell>
          <cell r="X375">
            <v>1020408.1632653062</v>
          </cell>
          <cell r="Y375">
            <v>0</v>
          </cell>
          <cell r="Z375">
            <v>4081632.6530612246</v>
          </cell>
          <cell r="AA375">
            <v>1020408.1632653062</v>
          </cell>
          <cell r="AB375">
            <v>1020408.1632653062</v>
          </cell>
          <cell r="AC375">
            <v>3061224.4897959186</v>
          </cell>
          <cell r="AD375">
            <v>78724.102993401902</v>
          </cell>
          <cell r="AE375">
            <v>0</v>
          </cell>
          <cell r="AF375">
            <v>3061224.4897959186</v>
          </cell>
          <cell r="AG375">
            <v>0</v>
          </cell>
        </row>
        <row r="376"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</row>
        <row r="377">
          <cell r="V377">
            <v>246622.36184091793</v>
          </cell>
          <cell r="W377">
            <v>316104.84250592138</v>
          </cell>
          <cell r="X377">
            <v>268975.59639569902</v>
          </cell>
          <cell r="Y377">
            <v>324910.38646507636</v>
          </cell>
          <cell r="Z377">
            <v>344027.15192762419</v>
          </cell>
          <cell r="AA377">
            <v>272219.55881634686</v>
          </cell>
          <cell r="AB377">
            <v>290872.41550857562</v>
          </cell>
          <cell r="AC377">
            <v>378098.6842493072</v>
          </cell>
          <cell r="AD377">
            <v>316246.84935670393</v>
          </cell>
          <cell r="AE377">
            <v>290546.04777638149</v>
          </cell>
          <cell r="AF377">
            <v>248270.77821199442</v>
          </cell>
          <cell r="AG377">
            <v>268459.15340697451</v>
          </cell>
        </row>
        <row r="378"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</row>
        <row r="379"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1646.2106563558643</v>
          </cell>
          <cell r="AD379">
            <v>1376.9128408463316</v>
          </cell>
          <cell r="AE379">
            <v>0</v>
          </cell>
          <cell r="AF379">
            <v>0</v>
          </cell>
          <cell r="AG379">
            <v>0</v>
          </cell>
        </row>
        <row r="380"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</row>
        <row r="381">
          <cell r="V381">
            <v>52872.859293878508</v>
          </cell>
          <cell r="W381">
            <v>73458.865179863729</v>
          </cell>
          <cell r="X381">
            <v>77288.79755670407</v>
          </cell>
          <cell r="Y381">
            <v>75979.047256529098</v>
          </cell>
          <cell r="Z381">
            <v>76072.452740500215</v>
          </cell>
          <cell r="AA381">
            <v>79125.887630946803</v>
          </cell>
          <cell r="AB381">
            <v>87809.116032920327</v>
          </cell>
          <cell r="AC381">
            <v>102873.93904809667</v>
          </cell>
          <cell r="AD381">
            <v>74212.977133288136</v>
          </cell>
          <cell r="AE381">
            <v>78255.168129738624</v>
          </cell>
          <cell r="AF381">
            <v>75520.082301077899</v>
          </cell>
          <cell r="AG381">
            <v>92377.247368965938</v>
          </cell>
        </row>
        <row r="382"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</row>
        <row r="383"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2364.9579409128337</v>
          </cell>
          <cell r="AD383">
            <v>1706.0741643040988</v>
          </cell>
          <cell r="AE383">
            <v>0</v>
          </cell>
          <cell r="AF383">
            <v>0</v>
          </cell>
          <cell r="AG383">
            <v>0</v>
          </cell>
        </row>
        <row r="384"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</row>
        <row r="385">
          <cell r="V385">
            <v>366.5910521853607</v>
          </cell>
          <cell r="W385">
            <v>332.63295786503039</v>
          </cell>
          <cell r="X385">
            <v>360.13866234133786</v>
          </cell>
          <cell r="Y385">
            <v>419.86929639827247</v>
          </cell>
          <cell r="Z385">
            <v>382.71857761663233</v>
          </cell>
          <cell r="AA385">
            <v>380.76092150960847</v>
          </cell>
          <cell r="AB385">
            <v>415.38600610283754</v>
          </cell>
          <cell r="AC385">
            <v>550.86150729846054</v>
          </cell>
          <cell r="AD385">
            <v>400.48747260369618</v>
          </cell>
          <cell r="AE385">
            <v>386.22638210901289</v>
          </cell>
          <cell r="AF385">
            <v>314.91541588624773</v>
          </cell>
          <cell r="AG385">
            <v>360.90877668489583</v>
          </cell>
        </row>
        <row r="386"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</row>
        <row r="387"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4903.3697498597876</v>
          </cell>
          <cell r="AD387">
            <v>3564.8491178723762</v>
          </cell>
          <cell r="AE387">
            <v>0</v>
          </cell>
          <cell r="AF387">
            <v>0</v>
          </cell>
          <cell r="AG387">
            <v>0</v>
          </cell>
        </row>
        <row r="388"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</row>
        <row r="389"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</row>
        <row r="390"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</row>
        <row r="391"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</row>
        <row r="392"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</row>
        <row r="393"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</row>
        <row r="394"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</row>
        <row r="395"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</row>
      </sheetData>
      <sheetData sheetId="3" refreshError="1"/>
      <sheetData sheetId="4" refreshError="1"/>
      <sheetData sheetId="5">
        <row r="284">
          <cell r="V284">
            <v>78707573.853189886</v>
          </cell>
          <cell r="W284">
            <v>87046781.214353994</v>
          </cell>
          <cell r="X284">
            <v>83456232.221568823</v>
          </cell>
          <cell r="Y284">
            <v>77457518.055984721</v>
          </cell>
          <cell r="Z284">
            <v>82983422.638724789</v>
          </cell>
          <cell r="AA284">
            <v>88866083.902971178</v>
          </cell>
          <cell r="AB284">
            <v>107228428.92324634</v>
          </cell>
          <cell r="AC284">
            <v>132537870.21556544</v>
          </cell>
          <cell r="AD284">
            <v>93005304.955554426</v>
          </cell>
          <cell r="AE284">
            <v>100715584.74129088</v>
          </cell>
          <cell r="AF284">
            <v>88314215.87223427</v>
          </cell>
          <cell r="AG284">
            <v>103870398.01339468</v>
          </cell>
        </row>
        <row r="285">
          <cell r="V285">
            <v>55320919.96201399</v>
          </cell>
          <cell r="W285">
            <v>56955119.667302482</v>
          </cell>
          <cell r="X285">
            <v>53684619.071234666</v>
          </cell>
          <cell r="Y285">
            <v>53932347.440095834</v>
          </cell>
          <cell r="Z285">
            <v>52207017.974105597</v>
          </cell>
          <cell r="AA285">
            <v>46872965.266174525</v>
          </cell>
          <cell r="AB285">
            <v>50822108.621495955</v>
          </cell>
          <cell r="AC285">
            <v>51883519.198767781</v>
          </cell>
          <cell r="AD285">
            <v>45204723.826723203</v>
          </cell>
          <cell r="AE285">
            <v>51438040.843639798</v>
          </cell>
          <cell r="AF285">
            <v>46964320.583292477</v>
          </cell>
          <cell r="AG285">
            <v>55376633.96949634</v>
          </cell>
        </row>
        <row r="286">
          <cell r="V286">
            <v>48702636.712799534</v>
          </cell>
          <cell r="W286">
            <v>62423939.146496087</v>
          </cell>
          <cell r="X286">
            <v>53116921.993952312</v>
          </cell>
          <cell r="Y286">
            <v>64162845.567228287</v>
          </cell>
          <cell r="Z286">
            <v>67937997.489773005</v>
          </cell>
          <cell r="AA286">
            <v>53757535.124503292</v>
          </cell>
          <cell r="AB286">
            <v>57441074.996380411</v>
          </cell>
          <cell r="AC286">
            <v>74666395.711754605</v>
          </cell>
          <cell r="AD286">
            <v>62451982.459408849</v>
          </cell>
          <cell r="AE286">
            <v>57376624.356230915</v>
          </cell>
          <cell r="AF286">
            <v>49028163.656393379</v>
          </cell>
          <cell r="AG286">
            <v>53014935.559814818</v>
          </cell>
        </row>
        <row r="287">
          <cell r="V287">
            <v>7961100.5953347329</v>
          </cell>
          <cell r="W287">
            <v>11060748.80621664</v>
          </cell>
          <cell r="X287">
            <v>11637424.199462971</v>
          </cell>
          <cell r="Y287">
            <v>11440214.250280783</v>
          </cell>
          <cell r="Z287">
            <v>11454278.374369795</v>
          </cell>
          <cell r="AA287">
            <v>11914036.039243512</v>
          </cell>
          <cell r="AB287">
            <v>13221475.351654263</v>
          </cell>
          <cell r="AC287">
            <v>15489795.489366546</v>
          </cell>
          <cell r="AD287">
            <v>11174295.930422407</v>
          </cell>
          <cell r="AE287">
            <v>11782931.241205085</v>
          </cell>
          <cell r="AF287">
            <v>11371107.600311819</v>
          </cell>
          <cell r="AG287">
            <v>13909301.8392823</v>
          </cell>
        </row>
        <row r="288">
          <cell r="V288">
            <v>3916458.6486190679</v>
          </cell>
          <cell r="W288">
            <v>3553668.9094842658</v>
          </cell>
          <cell r="X288">
            <v>3847524.8384285579</v>
          </cell>
          <cell r="Y288">
            <v>4485654.3207092611</v>
          </cell>
          <cell r="Z288">
            <v>4088756.3249523975</v>
          </cell>
          <cell r="AA288">
            <v>4067841.795954295</v>
          </cell>
          <cell r="AB288">
            <v>4437757.2949985843</v>
          </cell>
          <cell r="AC288">
            <v>5885103.5822869036</v>
          </cell>
          <cell r="AD288">
            <v>4278589.4974579355</v>
          </cell>
          <cell r="AE288">
            <v>4126231.7929430949</v>
          </cell>
          <cell r="AF288">
            <v>3364384.3644812722</v>
          </cell>
          <cell r="AG288">
            <v>3855752.3196048532</v>
          </cell>
        </row>
        <row r="289">
          <cell r="V289">
            <v>445074.0624429633</v>
          </cell>
          <cell r="W289">
            <v>468555.69316610403</v>
          </cell>
          <cell r="X289">
            <v>448774.92030519631</v>
          </cell>
          <cell r="Y289">
            <v>419374.91973588732</v>
          </cell>
          <cell r="Z289">
            <v>464356.47692063963</v>
          </cell>
          <cell r="AA289">
            <v>421660.4012634785</v>
          </cell>
          <cell r="AB289">
            <v>417599.40808440046</v>
          </cell>
          <cell r="AC289">
            <v>413710.32840819343</v>
          </cell>
          <cell r="AD289">
            <v>325393.202720406</v>
          </cell>
          <cell r="AE289">
            <v>352184.47924999212</v>
          </cell>
          <cell r="AF289">
            <v>364214.67867738666</v>
          </cell>
          <cell r="AG289">
            <v>469583.11207871727</v>
          </cell>
        </row>
        <row r="290"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structivo"/>
      <sheetName val="2025"/>
      <sheetName val="2026-2027"/>
      <sheetName val="Inputs EPM"/>
    </sheetNames>
    <sheetDataSet>
      <sheetData sheetId="0" refreshError="1"/>
      <sheetData sheetId="1" refreshError="1"/>
      <sheetData sheetId="2" refreshError="1"/>
      <sheetData sheetId="3">
        <row r="3">
          <cell r="F3">
            <v>8.7100972764774433E-3</v>
          </cell>
          <cell r="X3">
            <v>5.9269665685932962E-3</v>
          </cell>
          <cell r="AP3">
            <v>4.6431210038415383E-3</v>
          </cell>
        </row>
        <row r="10">
          <cell r="F10">
            <v>7.6754666565544234E-3</v>
          </cell>
          <cell r="X10">
            <v>5.051109495123776E-3</v>
          </cell>
          <cell r="AP10">
            <v>5.1310910649757843E-3</v>
          </cell>
        </row>
        <row r="17">
          <cell r="F17">
            <v>4.8963579335804452E-3</v>
          </cell>
          <cell r="X17">
            <v>3.0537482446090672E-3</v>
          </cell>
          <cell r="AP17">
            <v>2.9758908351873829E-3</v>
          </cell>
        </row>
        <row r="24">
          <cell r="F24">
            <v>8.6999999999999994E-3</v>
          </cell>
          <cell r="X24">
            <v>5.0622254446181748E-3</v>
          </cell>
          <cell r="AP24">
            <v>7.6042793011935226E-3</v>
          </cell>
        </row>
        <row r="31">
          <cell r="F31">
            <v>8.6997462040125633E-3</v>
          </cell>
          <cell r="X31">
            <v>8.699731053708042E-3</v>
          </cell>
          <cell r="AP31">
            <v>6.8079778704371536E-3</v>
          </cell>
        </row>
        <row r="38">
          <cell r="F38">
            <v>8.7007665502414951E-3</v>
          </cell>
          <cell r="X38">
            <v>6.6165441672143173E-3</v>
          </cell>
          <cell r="AP38">
            <v>6.9739320865169789E-3</v>
          </cell>
        </row>
        <row r="45">
          <cell r="F45">
            <v>8.6999999999999994E-3</v>
          </cell>
          <cell r="X45">
            <v>8.6999999999999994E-3</v>
          </cell>
          <cell r="AP45">
            <v>7.2336539949804076E-3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structivo"/>
      <sheetName val="Inpust EPM"/>
      <sheetName val="Calculo"/>
      <sheetName val="Hoja1"/>
      <sheetName val="Acumulaciones"/>
      <sheetName val="Ratios estandar de acumulacion"/>
      <sheetName val="Diccionario"/>
    </sheetNames>
    <sheetDataSet>
      <sheetData sheetId="0"/>
      <sheetData sheetId="1">
        <row r="4">
          <cell r="H4">
            <v>0.11753214242683191</v>
          </cell>
        </row>
        <row r="5">
          <cell r="H5">
            <v>1.2196277491937064</v>
          </cell>
        </row>
        <row r="6">
          <cell r="H6">
            <v>0.833668571476882</v>
          </cell>
        </row>
        <row r="7">
          <cell r="H7">
            <v>1.2012355302217128</v>
          </cell>
        </row>
        <row r="8">
          <cell r="H8">
            <v>1.4004681708694753</v>
          </cell>
        </row>
        <row r="9">
          <cell r="H9">
            <v>1.3346373237332181</v>
          </cell>
        </row>
        <row r="10">
          <cell r="H10">
            <v>1.1228562140163549</v>
          </cell>
        </row>
        <row r="11">
          <cell r="H11">
            <v>0.17658654748977531</v>
          </cell>
        </row>
        <row r="12">
          <cell r="H12">
            <v>1.5167702959183564</v>
          </cell>
        </row>
        <row r="13">
          <cell r="H13">
            <v>1.6698742989259194</v>
          </cell>
        </row>
        <row r="14">
          <cell r="H14">
            <v>1.4892863256195261</v>
          </cell>
        </row>
        <row r="15">
          <cell r="H15">
            <v>1.5761163650469805</v>
          </cell>
        </row>
        <row r="16">
          <cell r="H16">
            <v>1.5455125952594335</v>
          </cell>
        </row>
        <row r="17">
          <cell r="H17">
            <v>1.4465798961516596</v>
          </cell>
        </row>
        <row r="18">
          <cell r="H18">
            <v>0.10573788556091422</v>
          </cell>
        </row>
        <row r="19">
          <cell r="H19">
            <v>1.2750764594618591</v>
          </cell>
        </row>
        <row r="20">
          <cell r="H20">
            <v>0.66999706141639737</v>
          </cell>
        </row>
        <row r="21">
          <cell r="H21">
            <v>1.1626443292895856</v>
          </cell>
        </row>
        <row r="22">
          <cell r="H22">
            <v>1.5894005842922669</v>
          </cell>
        </row>
        <row r="23">
          <cell r="H23">
            <v>1.3080521626624997</v>
          </cell>
        </row>
        <row r="24">
          <cell r="H24">
            <v>1.2561079200846104</v>
          </cell>
        </row>
        <row r="25">
          <cell r="H25">
            <v>0</v>
          </cell>
        </row>
        <row r="26">
          <cell r="H26">
            <v>0</v>
          </cell>
        </row>
        <row r="27">
          <cell r="H27">
            <v>0</v>
          </cell>
        </row>
        <row r="28">
          <cell r="H28">
            <v>0</v>
          </cell>
        </row>
        <row r="29">
          <cell r="H29">
            <v>0</v>
          </cell>
        </row>
        <row r="30">
          <cell r="H30">
            <v>0</v>
          </cell>
        </row>
        <row r="31">
          <cell r="H31">
            <v>0</v>
          </cell>
        </row>
        <row r="32">
          <cell r="H32">
            <v>0.1103695565305296</v>
          </cell>
        </row>
        <row r="33">
          <cell r="H33">
            <v>1.3534978611225592</v>
          </cell>
        </row>
        <row r="34">
          <cell r="H34">
            <v>0.9984143621166921</v>
          </cell>
        </row>
        <row r="35">
          <cell r="H35">
            <v>1.4263694996459122</v>
          </cell>
        </row>
        <row r="36">
          <cell r="H36">
            <v>1.5766295637342114</v>
          </cell>
        </row>
        <row r="37">
          <cell r="H37">
            <v>1.2506139993560712</v>
          </cell>
        </row>
        <row r="38">
          <cell r="H38">
            <v>1.2503049244820892</v>
          </cell>
        </row>
        <row r="39">
          <cell r="H39">
            <v>0.11130791538911888</v>
          </cell>
        </row>
        <row r="40">
          <cell r="H40">
            <v>1.3314951379356845</v>
          </cell>
        </row>
        <row r="41">
          <cell r="H41">
            <v>1.4335963386935073</v>
          </cell>
        </row>
        <row r="42">
          <cell r="H42">
            <v>1.2579928145166615</v>
          </cell>
        </row>
        <row r="43">
          <cell r="H43">
            <v>1.3820070132754791</v>
          </cell>
        </row>
        <row r="44">
          <cell r="H44">
            <v>1.3858569558933391</v>
          </cell>
        </row>
        <row r="45">
          <cell r="H45">
            <v>1.2620787221413228</v>
          </cell>
        </row>
        <row r="46">
          <cell r="H46">
            <v>0.10272173611430811</v>
          </cell>
        </row>
        <row r="47">
          <cell r="H47">
            <v>1.3324260076106256</v>
          </cell>
        </row>
        <row r="48">
          <cell r="H48">
            <v>0.99945516219177133</v>
          </cell>
        </row>
        <row r="49">
          <cell r="H49">
            <v>1.5851851851851853</v>
          </cell>
        </row>
        <row r="50">
          <cell r="H50">
            <v>1.1444522419108247</v>
          </cell>
        </row>
        <row r="51">
          <cell r="H51">
            <v>1.4642072590112685</v>
          </cell>
        </row>
        <row r="52">
          <cell r="H52">
            <v>1.2941998697517798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049C-BC98-489C-A9C1-3D2BC612BE3F}">
  <dimension ref="A1:N10"/>
  <sheetViews>
    <sheetView workbookViewId="0">
      <selection activeCell="F15" sqref="F15"/>
    </sheetView>
  </sheetViews>
  <sheetFormatPr baseColWidth="10" defaultRowHeight="14.5" x14ac:dyDescent="0.35"/>
  <sheetData>
    <row r="1" spans="1:14" x14ac:dyDescent="0.35">
      <c r="A1" s="2" t="s">
        <v>4</v>
      </c>
      <c r="B1" s="2" t="s">
        <v>3</v>
      </c>
      <c r="C1" s="3">
        <v>46113</v>
      </c>
      <c r="D1" s="3">
        <v>46143</v>
      </c>
      <c r="E1" s="3">
        <v>46174</v>
      </c>
      <c r="F1" s="3">
        <v>46204</v>
      </c>
      <c r="G1" s="3">
        <v>46235</v>
      </c>
      <c r="H1" s="3">
        <v>46266</v>
      </c>
      <c r="I1" s="3">
        <v>46296</v>
      </c>
      <c r="J1" s="3">
        <v>46327</v>
      </c>
      <c r="K1" s="3">
        <v>46357</v>
      </c>
      <c r="L1" s="3">
        <v>46388</v>
      </c>
      <c r="M1" s="3">
        <v>46419</v>
      </c>
      <c r="N1" s="3">
        <v>46447</v>
      </c>
    </row>
    <row r="2" spans="1:14" x14ac:dyDescent="0.35">
      <c r="A2" t="s">
        <v>5</v>
      </c>
      <c r="B2" t="s">
        <v>2</v>
      </c>
      <c r="C2" s="1">
        <f>'[1]Cobrand  Partners AR'!E14</f>
        <v>17901845.701049101</v>
      </c>
      <c r="D2" s="1">
        <f>'[1]Cobrand  Partners AR'!F14</f>
        <v>22944946.29173233</v>
      </c>
      <c r="E2" s="1">
        <f>'[1]Cobrand  Partners AR'!G14</f>
        <v>19523954.819251463</v>
      </c>
      <c r="F2" s="1">
        <f>'[1]Cobrand  Partners AR'!H14</f>
        <v>23584069.905017525</v>
      </c>
      <c r="G2" s="1">
        <f>'[1]Cobrand  Partners AR'!I14</f>
        <v>24971632.107553553</v>
      </c>
      <c r="H2" s="1">
        <f>'[1]Cobrand  Partners AR'!J14</f>
        <v>19759406.544752035</v>
      </c>
      <c r="I2" s="1">
        <f>'[1]Cobrand  Partners AR'!K14</f>
        <v>21113551.139610428</v>
      </c>
      <c r="J2" s="1">
        <f>'[1]Cobrand  Partners AR'!L14</f>
        <v>27444993.462933652</v>
      </c>
      <c r="K2" s="1">
        <f>'[1]Cobrand  Partners AR'!M14</f>
        <v>22955159.167749248</v>
      </c>
      <c r="L2" s="1">
        <f>'[1]Cobrand  Partners AR'!N14</f>
        <v>21089421.035211958</v>
      </c>
      <c r="M2" s="1">
        <f>'[1]Cobrand  Partners AR'!O14</f>
        <v>18021047.506174769</v>
      </c>
      <c r="N2" s="1">
        <f>'[1]Cobrand  Partners AR'!P14</f>
        <v>19486525.762204051</v>
      </c>
    </row>
    <row r="3" spans="1:14" x14ac:dyDescent="0.35">
      <c r="A3" t="s">
        <v>5</v>
      </c>
      <c r="B3" t="s">
        <v>0</v>
      </c>
      <c r="C3" s="1">
        <f>'[1]Cobrand  Partners AR'!E23</f>
        <v>2467106.081457268</v>
      </c>
      <c r="D3" s="1">
        <f>'[1]Cobrand  Partners AR'!F23</f>
        <v>3162110.6270470112</v>
      </c>
      <c r="E3" s="1">
        <f>'[1]Cobrand  Partners AR'!G23</f>
        <v>2690653.716552224</v>
      </c>
      <c r="F3" s="1">
        <f>'[1]Cobrand  Partners AR'!H23</f>
        <v>3250190.1345721181</v>
      </c>
      <c r="G3" s="1">
        <f>'[1]Cobrand  Partners AR'!I23</f>
        <v>3441414.1684199944</v>
      </c>
      <c r="H3" s="1">
        <f>'[1]Cobrand  Partners AR'!J23</f>
        <v>2723102.0123074506</v>
      </c>
      <c r="I3" s="1">
        <f>'[1]Cobrand  Partners AR'!K23</f>
        <v>2909720.6672180919</v>
      </c>
      <c r="J3" s="1">
        <f>'[1]Cobrand  Partners AR'!L23</f>
        <v>3782275.3814703352</v>
      </c>
      <c r="K3" s="1">
        <f>'[1]Cobrand  Partners AR'!M23</f>
        <v>3163518.0935703674</v>
      </c>
      <c r="L3" s="1">
        <f>'[1]Cobrand  Partners AR'!N23</f>
        <v>2906395.2264617695</v>
      </c>
      <c r="M3" s="1">
        <f>'[1]Cobrand  Partners AR'!O23</f>
        <v>2483533.6333006509</v>
      </c>
      <c r="N3" s="1">
        <f>'[1]Cobrand  Partners AR'!P23</f>
        <v>2685495.5079626222</v>
      </c>
    </row>
    <row r="4" spans="1:14" x14ac:dyDescent="0.35">
      <c r="A4" t="s">
        <v>5</v>
      </c>
      <c r="B4" t="s">
        <v>1</v>
      </c>
      <c r="C4" s="1">
        <f>'[1]Cobrand  Partners AR'!E50</f>
        <v>32640.312451157115</v>
      </c>
      <c r="D4" s="1">
        <f>'[1]Cobrand  Partners AR'!F50</f>
        <v>41835.363159971399</v>
      </c>
      <c r="E4" s="1">
        <f>'[1]Cobrand  Partners AR'!G50</f>
        <v>35597.892877900107</v>
      </c>
      <c r="F4" s="1">
        <f>'[1]Cobrand  Partners AR'!H50</f>
        <v>43000.672859368417</v>
      </c>
      <c r="G4" s="1">
        <f>'[1]Cobrand  Partners AR'!I50</f>
        <v>45530.605503885497</v>
      </c>
      <c r="H4" s="1">
        <f>'[1]Cobrand  Partners AR'!J50</f>
        <v>36027.190393689358</v>
      </c>
      <c r="I4" s="1">
        <f>'[1]Cobrand  Partners AR'!K50</f>
        <v>38496.1929433892</v>
      </c>
      <c r="J4" s="1">
        <f>'[1]Cobrand  Partners AR'!L50</f>
        <v>50040.268294660898</v>
      </c>
      <c r="K4" s="1">
        <f>'[1]Cobrand  Partners AR'!M50</f>
        <v>41853.984226747642</v>
      </c>
      <c r="L4" s="1">
        <f>'[1]Cobrand  Partners AR'!N50</f>
        <v>38452.196689583994</v>
      </c>
      <c r="M4" s="1">
        <f>'[1]Cobrand  Partners AR'!O50</f>
        <v>32857.652284659074</v>
      </c>
      <c r="N4" s="1">
        <f>'[1]Cobrand  Partners AR'!P50</f>
        <v>35529.648734967508</v>
      </c>
    </row>
    <row r="5" spans="1:14" x14ac:dyDescent="0.35">
      <c r="A5" t="s">
        <v>6</v>
      </c>
      <c r="B5" t="s">
        <v>9</v>
      </c>
      <c r="C5" s="1">
        <f>'[1]Cobrand  Partners BR'!E32</f>
        <v>5880025.1312179128</v>
      </c>
      <c r="D5" s="1">
        <f>'[1]Cobrand  Partners BR'!F32</f>
        <v>6503030.7659793431</v>
      </c>
      <c r="E5" s="1">
        <f>'[1]Cobrand  Partners BR'!G32</f>
        <v>6234791.4278760739</v>
      </c>
      <c r="F5" s="1">
        <f>'[1]Cobrand  Partners BR'!H32</f>
        <v>5786618.8817598447</v>
      </c>
      <c r="G5" s="1">
        <f>'[1]Cobrand  Partners BR'!I32</f>
        <v>6199468.0649851421</v>
      </c>
      <c r="H5" s="1">
        <f>'[1]Cobrand  Partners BR'!J32</f>
        <v>6638933.6224284237</v>
      </c>
      <c r="I5" s="1">
        <f>'[1]Cobrand  Partners BR'!K32</f>
        <v>8010759.9777936824</v>
      </c>
      <c r="J5" s="1">
        <f>'[1]Cobrand  Partners BR'!L32</f>
        <v>9901522.8081066553</v>
      </c>
      <c r="K5" s="1">
        <f>'[1]Cobrand  Partners BR'!M32</f>
        <v>6948176.0210865559</v>
      </c>
      <c r="L5" s="1">
        <f>'[1]Cobrand  Partners BR'!N32</f>
        <v>7524185.3781307209</v>
      </c>
      <c r="M5" s="1">
        <f>'[1]Cobrand  Partners BR'!O32</f>
        <v>6597714.7567447927</v>
      </c>
      <c r="N5" s="1">
        <f>'[1]Cobrand  Partners BR'!P32</f>
        <v>7759852.6443376765</v>
      </c>
    </row>
    <row r="6" spans="1:14" x14ac:dyDescent="0.35">
      <c r="A6" t="s">
        <v>6</v>
      </c>
      <c r="B6" t="s">
        <v>7</v>
      </c>
      <c r="C6" s="1">
        <f>'[1]Cobrand  Partners BR'!E48</f>
        <v>1312473.0007096624</v>
      </c>
      <c r="D6" s="1">
        <f>'[1]Cobrand  Partners BR'!F48</f>
        <v>1451533.3034578923</v>
      </c>
      <c r="E6" s="1">
        <f>'[1]Cobrand  Partners BR'!G48</f>
        <v>1391659.938781328</v>
      </c>
      <c r="F6" s="1">
        <f>'[1]Cobrand  Partners BR'!H48</f>
        <v>1291623.9094599667</v>
      </c>
      <c r="G6" s="1">
        <f>'[1]Cobrand  Partners BR'!I48</f>
        <v>1383775.4554578674</v>
      </c>
      <c r="H6" s="1">
        <f>'[1]Cobrand  Partners BR'!J48</f>
        <v>1481868.0088083427</v>
      </c>
      <c r="I6" s="1">
        <f>'[1]Cobrand  Partners BR'!K48</f>
        <v>1788071.6410887223</v>
      </c>
      <c r="J6" s="1">
        <f>'[1]Cobrand  Partners BR'!L48</f>
        <v>2210106.4300824148</v>
      </c>
      <c r="K6" s="1">
        <f>'[1]Cobrand  Partners BR'!M48</f>
        <v>1550893.6149675166</v>
      </c>
      <c r="L6" s="1">
        <f>'[1]Cobrand  Partners BR'!N48</f>
        <v>1679463.9377817679</v>
      </c>
      <c r="M6" s="1">
        <f>'[1]Cobrand  Partners BR'!O48</f>
        <v>1472667.597734855</v>
      </c>
      <c r="N6" s="1">
        <f>'[1]Cobrand  Partners BR'!P48</f>
        <v>1732066.9313311544</v>
      </c>
    </row>
    <row r="7" spans="1:14" x14ac:dyDescent="0.35">
      <c r="A7" t="s">
        <v>6</v>
      </c>
      <c r="B7" t="s">
        <v>8</v>
      </c>
      <c r="C7" s="1">
        <f>'[1]Cobrand  Partners BR'!E54</f>
        <v>0</v>
      </c>
      <c r="D7" s="1">
        <f>'[1]Cobrand  Partners BR'!F54</f>
        <v>0</v>
      </c>
      <c r="E7" s="1">
        <f>'[1]Cobrand  Partners BR'!G54</f>
        <v>0</v>
      </c>
      <c r="F7" s="1">
        <f>'[1]Cobrand  Partners BR'!H54</f>
        <v>1000000</v>
      </c>
      <c r="G7" s="1">
        <f>'[1]Cobrand  Partners BR'!I54</f>
        <v>2500000</v>
      </c>
      <c r="H7" s="1">
        <f>'[1]Cobrand  Partners BR'!J54</f>
        <v>3500000</v>
      </c>
      <c r="I7" s="1">
        <f>'[1]Cobrand  Partners BR'!K54</f>
        <v>4500000</v>
      </c>
      <c r="J7" s="1">
        <f>'[1]Cobrand  Partners BR'!L54</f>
        <v>4500000</v>
      </c>
      <c r="K7" s="1">
        <f>'[1]Cobrand  Partners BR'!M54</f>
        <v>5500000</v>
      </c>
      <c r="L7" s="1">
        <f>'[1]Cobrand  Partners BR'!N54</f>
        <v>9000000</v>
      </c>
      <c r="M7" s="1">
        <f>'[1]Cobrand  Partners BR'!O54</f>
        <v>6000000</v>
      </c>
      <c r="N7" s="1">
        <f>'[1]Cobrand  Partners BR'!P54</f>
        <v>6000000</v>
      </c>
    </row>
    <row r="8" spans="1:14" x14ac:dyDescent="0.35">
      <c r="A8" t="s">
        <v>10</v>
      </c>
      <c r="B8" t="s">
        <v>13</v>
      </c>
      <c r="C8" s="1">
        <f>'[1]Cobrand  Partners MX'!E13</f>
        <v>60417620.001648858</v>
      </c>
      <c r="D8" s="1">
        <f>'[1]Cobrand  Partners MX'!F13</f>
        <v>62201643.209435657</v>
      </c>
      <c r="E8" s="1">
        <f>'[1]Cobrand  Partners MX'!G13</f>
        <v>58630149.859399192</v>
      </c>
      <c r="F8" s="1">
        <f>'[1]Cobrand  Partners MX'!H13</f>
        <v>58901073.5889972</v>
      </c>
      <c r="G8" s="1">
        <f>'[1]Cobrand  Partners MX'!I13</f>
        <v>57016453.613354795</v>
      </c>
      <c r="H8" s="1">
        <f>'[1]Cobrand  Partners MX'!J13</f>
        <v>51191418.552347124</v>
      </c>
      <c r="I8" s="1">
        <f>'[1]Cobrand  Partners MX'!K13</f>
        <v>55504637.005701959</v>
      </c>
      <c r="J8" s="1">
        <f>'[1]Cobrand  Partners MX'!L13</f>
        <v>56663134.615149952</v>
      </c>
      <c r="K8" s="1">
        <f>'[1]Cobrand  Partners MX'!M13</f>
        <v>49368324.487253256</v>
      </c>
      <c r="L8" s="1">
        <f>'[1]Cobrand  Partners MX'!N13</f>
        <v>56176650.295272976</v>
      </c>
      <c r="M8" s="1">
        <f>'[1]Cobrand  Partners MX'!O13</f>
        <v>51292297.763434552</v>
      </c>
      <c r="N8" s="1">
        <f>'[1]Cobrand  Partners MX'!P13</f>
        <v>60477315.534699216</v>
      </c>
    </row>
    <row r="9" spans="1:14" x14ac:dyDescent="0.35">
      <c r="A9" t="s">
        <v>10</v>
      </c>
      <c r="B9" t="s">
        <v>11</v>
      </c>
      <c r="C9" s="1">
        <f>'[1]Cobrand  Partners MX'!E32</f>
        <v>1024552.6095635176</v>
      </c>
      <c r="D9" s="1">
        <f>'[1]Cobrand  Partners MX'!F32</f>
        <v>1054805.7978388912</v>
      </c>
      <c r="E9" s="1">
        <f>'[1]Cobrand  Partners MX'!G32</f>
        <v>994240.96870926383</v>
      </c>
      <c r="F9" s="1">
        <f>'[1]Cobrand  Partners MX'!H32</f>
        <v>998835.25120739511</v>
      </c>
      <c r="G9" s="1">
        <f>'[1]Cobrand  Partners MX'!I32</f>
        <v>966876.15857800539</v>
      </c>
      <c r="H9" s="1">
        <f>'[1]Cobrand  Partners MX'!J32</f>
        <v>868096.11937104037</v>
      </c>
      <c r="I9" s="1">
        <f>'[1]Cobrand  Partners MX'!K32</f>
        <v>941239.00751992164</v>
      </c>
      <c r="J9" s="1">
        <f>'[1]Cobrand  Partners MX'!L32</f>
        <v>960884.62992114574</v>
      </c>
      <c r="K9" s="1">
        <f>'[1]Cobrand  Partners MX'!M32</f>
        <v>837180.37357005209</v>
      </c>
      <c r="L9" s="1">
        <f>'[1]Cobrand  Partners MX'!N32</f>
        <v>952634.90443662519</v>
      </c>
      <c r="M9" s="1">
        <f>'[1]Cobrand  Partners MX'!O32</f>
        <v>869806.8133534831</v>
      </c>
      <c r="N9" s="1">
        <f>'[1]Cobrand  Partners MX'!P32</f>
        <v>1025564.9171347918</v>
      </c>
    </row>
    <row r="10" spans="1:14" x14ac:dyDescent="0.35">
      <c r="A10" t="s">
        <v>10</v>
      </c>
      <c r="B10" t="s">
        <v>12</v>
      </c>
      <c r="C10" s="1">
        <f>'[1]Cobrand  Partners MX'!E38</f>
        <v>341517.53652117256</v>
      </c>
      <c r="D10" s="1">
        <f>'[1]Cobrand  Partners MX'!F38</f>
        <v>351601.93261296372</v>
      </c>
      <c r="E10" s="1">
        <f>'[1]Cobrand  Partners MX'!G38</f>
        <v>331413.65623642126</v>
      </c>
      <c r="F10" s="1">
        <f>'[1]Cobrand  Partners MX'!H38</f>
        <v>332945.08373579837</v>
      </c>
      <c r="G10" s="1">
        <f>'[1]Cobrand  Partners MX'!I38</f>
        <v>322292.05285933515</v>
      </c>
      <c r="H10" s="1">
        <f>'[1]Cobrand  Partners MX'!J38</f>
        <v>289365.37312368012</v>
      </c>
      <c r="I10" s="1">
        <f>'[1]Cobrand  Partners MX'!K38</f>
        <v>313746.33583997388</v>
      </c>
      <c r="J10" s="1">
        <f>'[1]Cobrand  Partners MX'!L38</f>
        <v>320294.87664038193</v>
      </c>
      <c r="K10" s="1">
        <f>'[1]Cobrand  Partners MX'!M38</f>
        <v>279060.12452335068</v>
      </c>
      <c r="L10" s="1">
        <f>'[1]Cobrand  Partners MX'!N38</f>
        <v>317544.96814554173</v>
      </c>
      <c r="M10" s="1">
        <f>'[1]Cobrand  Partners MX'!O38</f>
        <v>289935.60445116105</v>
      </c>
      <c r="N10" s="1">
        <f>'[1]Cobrand  Partners MX'!P38</f>
        <v>341854.97237826395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1BD5E-79B8-4047-A9D9-3DA2AB6B6189}">
  <dimension ref="A1:N8"/>
  <sheetViews>
    <sheetView topLeftCell="C1" workbookViewId="0">
      <selection activeCell="I21" sqref="I21"/>
    </sheetView>
  </sheetViews>
  <sheetFormatPr baseColWidth="10" defaultRowHeight="14.5" x14ac:dyDescent="0.35"/>
  <cols>
    <col min="3" max="3" width="14.7265625" bestFit="1" customWidth="1"/>
    <col min="4" max="5" width="13.7265625" bestFit="1" customWidth="1"/>
    <col min="6" max="6" width="14.7265625" bestFit="1" customWidth="1"/>
    <col min="7" max="10" width="13.7265625" bestFit="1" customWidth="1"/>
    <col min="11" max="11" width="14.7265625" bestFit="1" customWidth="1"/>
    <col min="12" max="14" width="13.7265625" bestFit="1" customWidth="1"/>
  </cols>
  <sheetData>
    <row r="1" spans="1:14" ht="15" thickBot="1" x14ac:dyDescent="0.4">
      <c r="A1" s="2" t="s">
        <v>4</v>
      </c>
      <c r="B1" s="2" t="s">
        <v>14</v>
      </c>
      <c r="C1" s="3">
        <v>46113</v>
      </c>
      <c r="D1" s="3">
        <v>46143</v>
      </c>
      <c r="E1" s="3">
        <v>46174</v>
      </c>
      <c r="F1" s="3">
        <v>46204</v>
      </c>
      <c r="G1" s="3">
        <v>46235</v>
      </c>
      <c r="H1" s="3">
        <v>46266</v>
      </c>
      <c r="I1" s="3">
        <v>46296</v>
      </c>
      <c r="J1" s="3">
        <v>46327</v>
      </c>
      <c r="K1" s="3">
        <v>46357</v>
      </c>
      <c r="L1" s="3">
        <v>46388</v>
      </c>
      <c r="M1" s="3">
        <v>46419</v>
      </c>
      <c r="N1" s="3">
        <v>46447</v>
      </c>
    </row>
    <row r="2" spans="1:14" x14ac:dyDescent="0.35">
      <c r="A2" s="5" t="s">
        <v>5</v>
      </c>
      <c r="B2" t="s">
        <v>15</v>
      </c>
      <c r="C2" s="4">
        <f>'[2]Inputs EPM'!M25</f>
        <v>28665895.822517976</v>
      </c>
      <c r="D2" s="4">
        <f>'[2]Inputs EPM'!N25</f>
        <v>25249801.006061282</v>
      </c>
      <c r="E2" s="4">
        <f>'[2]Inputs EPM'!O25</f>
        <v>22990219.349366732</v>
      </c>
      <c r="F2" s="4">
        <f>'[2]Inputs EPM'!P25</f>
        <v>38999480.414044276</v>
      </c>
      <c r="G2" s="4">
        <f>'[2]Inputs EPM'!Q25</f>
        <v>38717737.232454374</v>
      </c>
      <c r="H2" s="4">
        <f>'[2]Inputs EPM'!R25</f>
        <v>35362904.584059671</v>
      </c>
      <c r="I2" s="4">
        <f>'[2]Inputs EPM'!S25</f>
        <v>27968594.154943444</v>
      </c>
      <c r="J2" s="4">
        <f>'[2]Inputs EPM'!T25</f>
        <v>27601932.987490788</v>
      </c>
      <c r="K2" s="4">
        <f>'[2]Inputs EPM'!U25</f>
        <v>26364361.347940426</v>
      </c>
      <c r="L2" s="4">
        <f>'[2]Inputs EPM'!V25</f>
        <v>35382016.648430139</v>
      </c>
      <c r="M2" s="4">
        <f>'[2]Inputs EPM'!W25</f>
        <v>45096801.88551642</v>
      </c>
      <c r="N2" s="4">
        <f>'[2]Inputs EPM'!X25</f>
        <v>37488540.949152388</v>
      </c>
    </row>
    <row r="3" spans="1:14" x14ac:dyDescent="0.35">
      <c r="A3" s="6" t="s">
        <v>6</v>
      </c>
      <c r="B3" t="s">
        <v>15</v>
      </c>
      <c r="C3" s="4">
        <f>'[2]Inputs EPM'!M26</f>
        <v>100602234.93540369</v>
      </c>
      <c r="D3" s="4">
        <f>'[2]Inputs EPM'!N26</f>
        <v>86755800.419792295</v>
      </c>
      <c r="E3" s="4">
        <f>'[2]Inputs EPM'!O26</f>
        <v>79704881.42020835</v>
      </c>
      <c r="F3" s="4">
        <f>'[2]Inputs EPM'!P26</f>
        <v>106302880.49227548</v>
      </c>
      <c r="G3" s="4">
        <f>'[2]Inputs EPM'!Q26</f>
        <v>55547537.292097747</v>
      </c>
      <c r="H3" s="4">
        <f>'[2]Inputs EPM'!R26</f>
        <v>63343411.582421564</v>
      </c>
      <c r="I3" s="4">
        <f>'[2]Inputs EPM'!S26</f>
        <v>59148467.105889097</v>
      </c>
      <c r="J3" s="4">
        <f>'[2]Inputs EPM'!T26</f>
        <v>51854269.021120116</v>
      </c>
      <c r="K3" s="4">
        <f>'[2]Inputs EPM'!U26</f>
        <v>113284977.05805418</v>
      </c>
      <c r="L3" s="4">
        <f>'[2]Inputs EPM'!V26</f>
        <v>74045877.099970251</v>
      </c>
      <c r="M3" s="4">
        <f>'[2]Inputs EPM'!W26</f>
        <v>64097179.485806838</v>
      </c>
      <c r="N3" s="4">
        <f>'[2]Inputs EPM'!X26</f>
        <v>68939196.628754735</v>
      </c>
    </row>
    <row r="4" spans="1:14" x14ac:dyDescent="0.35">
      <c r="A4" s="6" t="s">
        <v>16</v>
      </c>
      <c r="B4" t="s">
        <v>15</v>
      </c>
      <c r="C4" s="4">
        <f>'[2]Inputs EPM'!M27</f>
        <v>14006446.211730789</v>
      </c>
      <c r="D4" s="4">
        <f>'[2]Inputs EPM'!N27</f>
        <v>9490581.1724216305</v>
      </c>
      <c r="E4" s="4">
        <f>'[2]Inputs EPM'!O27</f>
        <v>8704593.3901930228</v>
      </c>
      <c r="F4" s="4">
        <f>'[2]Inputs EPM'!P27</f>
        <v>10090912.378884332</v>
      </c>
      <c r="G4" s="4">
        <f>'[2]Inputs EPM'!Q27</f>
        <v>4764458.3496096786</v>
      </c>
      <c r="H4" s="4">
        <f>'[2]Inputs EPM'!R27</f>
        <v>4850802.692267851</v>
      </c>
      <c r="I4" s="4">
        <f>'[2]Inputs EPM'!S27</f>
        <v>6406285.1947859572</v>
      </c>
      <c r="J4" s="4">
        <f>'[2]Inputs EPM'!T27</f>
        <v>5931847.0422854964</v>
      </c>
      <c r="K4" s="4">
        <f>'[2]Inputs EPM'!U27</f>
        <v>8091578.3839183813</v>
      </c>
      <c r="L4" s="4">
        <f>'[2]Inputs EPM'!V27</f>
        <v>9894276.744234208</v>
      </c>
      <c r="M4" s="4">
        <f>'[2]Inputs EPM'!W27</f>
        <v>10154035.61155593</v>
      </c>
      <c r="N4" s="4">
        <f>'[2]Inputs EPM'!X27</f>
        <v>9669079.9001500309</v>
      </c>
    </row>
    <row r="5" spans="1:14" x14ac:dyDescent="0.35">
      <c r="A5" s="6" t="s">
        <v>17</v>
      </c>
      <c r="B5" t="s">
        <v>15</v>
      </c>
      <c r="C5" s="4">
        <f>'[2]Inputs EPM'!M28</f>
        <v>1869180.8542091574</v>
      </c>
      <c r="D5" s="4">
        <f>'[2]Inputs EPM'!N28</f>
        <v>1296222.4079085982</v>
      </c>
      <c r="E5" s="4">
        <f>'[2]Inputs EPM'!O28</f>
        <v>837528.0741595187</v>
      </c>
      <c r="F5" s="4">
        <f>'[2]Inputs EPM'!P28</f>
        <v>851183.15340368776</v>
      </c>
      <c r="G5" s="4">
        <f>'[2]Inputs EPM'!Q28</f>
        <v>583960.2674742667</v>
      </c>
      <c r="H5" s="4">
        <f>'[2]Inputs EPM'!R28</f>
        <v>994092.5850947994</v>
      </c>
      <c r="I5" s="4">
        <f>'[2]Inputs EPM'!S28</f>
        <v>838919.93959633016</v>
      </c>
      <c r="J5" s="4">
        <f>'[2]Inputs EPM'!T28</f>
        <v>899626.6521172059</v>
      </c>
      <c r="K5" s="4">
        <f>'[2]Inputs EPM'!U28</f>
        <v>723557.03782987304</v>
      </c>
      <c r="L5" s="4">
        <f>'[2]Inputs EPM'!V28</f>
        <v>861871.17752580554</v>
      </c>
      <c r="M5" s="4">
        <f>'[2]Inputs EPM'!W28</f>
        <v>1354970.5024670125</v>
      </c>
      <c r="N5" s="4">
        <f>'[2]Inputs EPM'!X28</f>
        <v>1004365.8132138137</v>
      </c>
    </row>
    <row r="6" spans="1:14" x14ac:dyDescent="0.35">
      <c r="A6" s="6" t="s">
        <v>10</v>
      </c>
      <c r="B6" t="s">
        <v>15</v>
      </c>
      <c r="C6" s="4">
        <f>'[2]Inputs EPM'!M29</f>
        <v>31283658.84</v>
      </c>
      <c r="D6" s="4">
        <f>'[2]Inputs EPM'!N29</f>
        <v>31336712.144378342</v>
      </c>
      <c r="E6" s="4">
        <f>'[2]Inputs EPM'!O29</f>
        <v>36071650.343096018</v>
      </c>
      <c r="F6" s="4">
        <f>'[2]Inputs EPM'!P29</f>
        <v>33938776.766245976</v>
      </c>
      <c r="G6" s="4">
        <f>'[2]Inputs EPM'!Q29</f>
        <v>22515167.41340635</v>
      </c>
      <c r="H6" s="4">
        <f>'[2]Inputs EPM'!R29</f>
        <v>26615055.539529346</v>
      </c>
      <c r="I6" s="4">
        <f>'[2]Inputs EPM'!S29</f>
        <v>29017079.73246827</v>
      </c>
      <c r="J6" s="4">
        <f>'[2]Inputs EPM'!T29</f>
        <v>28970905.386019349</v>
      </c>
      <c r="K6" s="4">
        <f>'[2]Inputs EPM'!U29</f>
        <v>29598412.051896498</v>
      </c>
      <c r="L6" s="4">
        <f>'[2]Inputs EPM'!V29</f>
        <v>27516035.416542523</v>
      </c>
      <c r="M6" s="4">
        <f>'[2]Inputs EPM'!W29</f>
        <v>31528692.676676594</v>
      </c>
      <c r="N6" s="4">
        <f>'[2]Inputs EPM'!X29</f>
        <v>36642166.66299583</v>
      </c>
    </row>
    <row r="7" spans="1:14" x14ac:dyDescent="0.35">
      <c r="A7" s="6" t="s">
        <v>18</v>
      </c>
      <c r="B7" t="s">
        <v>15</v>
      </c>
      <c r="C7" s="4">
        <f>'[2]Inputs EPM'!M30</f>
        <v>4890656.5745814154</v>
      </c>
      <c r="D7" s="4">
        <f>'[2]Inputs EPM'!N30</f>
        <v>3384978.590872033</v>
      </c>
      <c r="E7" s="4">
        <f>'[2]Inputs EPM'!O30</f>
        <v>2796920.9048145455</v>
      </c>
      <c r="F7" s="4">
        <f>'[2]Inputs EPM'!P30</f>
        <v>3905493.5678281542</v>
      </c>
      <c r="G7" s="4">
        <f>'[2]Inputs EPM'!Q30</f>
        <v>3273077.5139717832</v>
      </c>
      <c r="H7" s="4">
        <f>'[2]Inputs EPM'!R30</f>
        <v>2883169.60273724</v>
      </c>
      <c r="I7" s="4">
        <f>'[2]Inputs EPM'!S30</f>
        <v>2454120.2921668245</v>
      </c>
      <c r="J7" s="4">
        <f>'[2]Inputs EPM'!T30</f>
        <v>2550709.4093114487</v>
      </c>
      <c r="K7" s="4">
        <f>'[2]Inputs EPM'!U30</f>
        <v>2192249.2527827672</v>
      </c>
      <c r="L7" s="4">
        <f>'[2]Inputs EPM'!V30</f>
        <v>2627141.4170239582</v>
      </c>
      <c r="M7" s="4">
        <f>'[2]Inputs EPM'!W30</f>
        <v>3650857.1301619145</v>
      </c>
      <c r="N7" s="4">
        <f>'[2]Inputs EPM'!X30</f>
        <v>2806728.2379650567</v>
      </c>
    </row>
    <row r="8" spans="1:14" x14ac:dyDescent="0.35">
      <c r="A8" s="6" t="s">
        <v>19</v>
      </c>
      <c r="B8" t="s">
        <v>15</v>
      </c>
      <c r="C8" s="4">
        <f>'[2]Inputs EPM'!M31</f>
        <v>375093.64747755363</v>
      </c>
      <c r="D8" s="4">
        <f>'[2]Inputs EPM'!N31</f>
        <v>246998.12017866422</v>
      </c>
      <c r="E8" s="4">
        <f>'[2]Inputs EPM'!O31</f>
        <v>263260.73769930721</v>
      </c>
      <c r="F8" s="4">
        <f>'[2]Inputs EPM'!P31</f>
        <v>403693.91953726346</v>
      </c>
      <c r="G8" s="4">
        <f>'[2]Inputs EPM'!Q31</f>
        <v>319864.0458182795</v>
      </c>
      <c r="H8" s="4">
        <f>'[2]Inputs EPM'!R31</f>
        <v>307551.60017359967</v>
      </c>
      <c r="I8" s="4">
        <f>'[2]Inputs EPM'!S31</f>
        <v>263163.11194376729</v>
      </c>
      <c r="J8" s="4">
        <f>'[2]Inputs EPM'!T31</f>
        <v>201646.224601272</v>
      </c>
      <c r="K8" s="4">
        <f>'[2]Inputs EPM'!U31</f>
        <v>150578.57565467519</v>
      </c>
      <c r="L8" s="4">
        <f>'[2]Inputs EPM'!V31</f>
        <v>305650.13195699896</v>
      </c>
      <c r="M8" s="4">
        <f>'[2]Inputs EPM'!W31</f>
        <v>247004.03840368599</v>
      </c>
      <c r="N8" s="4">
        <f>'[2]Inputs EPM'!X31</f>
        <v>259274.83049242262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AA094-D9F0-458E-BAFF-ED4F05B4E403}">
  <dimension ref="A1:O36"/>
  <sheetViews>
    <sheetView workbookViewId="0">
      <selection activeCell="E16" sqref="E16"/>
    </sheetView>
  </sheetViews>
  <sheetFormatPr baseColWidth="10" defaultRowHeight="14.5" x14ac:dyDescent="0.35"/>
  <sheetData>
    <row r="1" spans="1:15" x14ac:dyDescent="0.35">
      <c r="A1" s="2" t="s">
        <v>4</v>
      </c>
      <c r="B1" s="2" t="s">
        <v>14</v>
      </c>
      <c r="C1" s="2" t="s">
        <v>21</v>
      </c>
      <c r="D1" s="3">
        <v>46113</v>
      </c>
      <c r="E1" s="3">
        <v>46143</v>
      </c>
      <c r="F1" s="3">
        <v>46174</v>
      </c>
      <c r="G1" s="3">
        <v>46204</v>
      </c>
      <c r="H1" s="3">
        <v>46235</v>
      </c>
      <c r="I1" s="3">
        <v>46266</v>
      </c>
      <c r="J1" s="3">
        <v>46296</v>
      </c>
      <c r="K1" s="3">
        <v>46327</v>
      </c>
      <c r="L1" s="3">
        <v>46357</v>
      </c>
      <c r="M1" s="3">
        <v>46388</v>
      </c>
      <c r="N1" s="3">
        <v>46419</v>
      </c>
      <c r="O1" s="3">
        <v>46447</v>
      </c>
    </row>
    <row r="2" spans="1:15" x14ac:dyDescent="0.35">
      <c r="A2" t="s">
        <v>6</v>
      </c>
      <c r="B2" t="s">
        <v>15</v>
      </c>
      <c r="C2" t="s">
        <v>22</v>
      </c>
      <c r="D2" s="1">
        <f>'[3]Proyecciones R&amp;B'!V368</f>
        <v>65678521.245162718</v>
      </c>
      <c r="E2" s="1">
        <f>'[3]Proyecciones R&amp;B'!W368</f>
        <v>72637277.32192415</v>
      </c>
      <c r="F2" s="1">
        <f>'[3]Proyecciones R&amp;B'!X368</f>
        <v>69641098.723606437</v>
      </c>
      <c r="G2" s="1">
        <f>'[3]Proyecciones R&amp;B'!Y368</f>
        <v>64635396.521390669</v>
      </c>
      <c r="H2" s="1">
        <f>'[3]Proyecciones R&amp;B'!Z368</f>
        <v>69246556.842673093</v>
      </c>
      <c r="I2" s="1">
        <f>'[3]Proyecciones R&amp;B'!AA368</f>
        <v>74155417.24716951</v>
      </c>
      <c r="J2" s="1">
        <f>'[3]Proyecciones R&amp;B'!AB368</f>
        <v>89478106.138262451</v>
      </c>
      <c r="K2" s="1">
        <f>'[3]Proyecciones R&amp;B'!AC368</f>
        <v>110597886.56398585</v>
      </c>
      <c r="L2" s="1">
        <f>'[3]Proyecciones R&amp;B'!AD368</f>
        <v>77609442.120907828</v>
      </c>
      <c r="M2" s="1">
        <f>'[3]Proyecciones R&amp;B'!AE368</f>
        <v>84043381.701591745</v>
      </c>
      <c r="N2" s="1">
        <f>'[3]Proyecciones R&amp;B'!AF368</f>
        <v>73694904.05375196</v>
      </c>
      <c r="O2" s="1">
        <f>'[3]Proyecciones R&amp;B'!AG368</f>
        <v>86675955.167810887</v>
      </c>
    </row>
    <row r="3" spans="1:15" x14ac:dyDescent="0.35">
      <c r="A3" t="s">
        <v>6</v>
      </c>
      <c r="B3" t="s">
        <v>15</v>
      </c>
      <c r="C3" t="s">
        <v>23</v>
      </c>
      <c r="D3" s="1">
        <f>'[3]Proyecciones R&amp;B'!V369</f>
        <v>631918.62089705572</v>
      </c>
      <c r="E3" s="1">
        <f>'[3]Proyecciones R&amp;B'!W369</f>
        <v>698871.52208634617</v>
      </c>
      <c r="F3" s="1">
        <f>'[3]Proyecciones R&amp;B'!X369</f>
        <v>670044.12140929978</v>
      </c>
      <c r="G3" s="1">
        <f>'[3]Proyecciones R&amp;B'!Y369</f>
        <v>621882.31185152871</v>
      </c>
      <c r="H3" s="1">
        <f>'[3]Proyecciones R&amp;B'!Z369</f>
        <v>666248.08038159634</v>
      </c>
      <c r="I3" s="1">
        <f>'[3]Proyecciones R&amp;B'!AA369</f>
        <v>713478.13730395748</v>
      </c>
      <c r="J3" s="1">
        <f>'[3]Proyecciones R&amp;B'!AB369</f>
        <v>860903.69209607644</v>
      </c>
      <c r="K3" s="1">
        <f>'[3]Proyecciones R&amp;B'!AC369</f>
        <v>1064105.3212931515</v>
      </c>
      <c r="L3" s="1">
        <f>'[3]Proyecciones R&amp;B'!AD369</f>
        <v>746710.65523184242</v>
      </c>
      <c r="M3" s="1">
        <f>'[3]Proyecciones R&amp;B'!AE369</f>
        <v>808614.09260651097</v>
      </c>
      <c r="N3" s="1">
        <f>'[3]Proyecciones R&amp;B'!AF369</f>
        <v>709047.36059686553</v>
      </c>
      <c r="O3" s="1">
        <f>'[3]Proyecciones R&amp;B'!AG369</f>
        <v>833943.10675976286</v>
      </c>
    </row>
    <row r="4" spans="1:15" x14ac:dyDescent="0.35">
      <c r="A4" t="s">
        <v>6</v>
      </c>
      <c r="B4" t="s">
        <v>15</v>
      </c>
      <c r="C4" t="s">
        <v>24</v>
      </c>
      <c r="D4" s="1">
        <f>'[3]Proyecciones R&amp;B'!V370</f>
        <v>722878.62246103934</v>
      </c>
      <c r="E4" s="1">
        <f>'[3]Proyecciones R&amp;B'!W370</f>
        <v>799468.89750749804</v>
      </c>
      <c r="F4" s="1">
        <f>'[3]Proyecciones R&amp;B'!X370</f>
        <v>766492.00617776706</v>
      </c>
      <c r="G4" s="1">
        <f>'[3]Proyecciones R&amp;B'!Y370</f>
        <v>711397.66111964907</v>
      </c>
      <c r="H4" s="1">
        <f>'[3]Proyecciones R&amp;B'!Z370</f>
        <v>762149.55318118271</v>
      </c>
      <c r="I4" s="1">
        <f>'[3]Proyecciones R&amp;B'!AA370</f>
        <v>816178.02671837073</v>
      </c>
      <c r="J4" s="1">
        <f>'[3]Proyecciones R&amp;B'!AB370</f>
        <v>984824.3973734976</v>
      </c>
      <c r="K4" s="1">
        <f>'[3]Proyecciones R&amp;B'!AC370</f>
        <v>1217275.3949201421</v>
      </c>
      <c r="L4" s="1">
        <f>'[3]Proyecciones R&amp;B'!AD370</f>
        <v>854194.11927554</v>
      </c>
      <c r="M4" s="1">
        <f>'[3]Proyecciones R&amp;B'!AE370</f>
        <v>925008.09761895309</v>
      </c>
      <c r="N4" s="1">
        <f>'[3]Proyecciones R&amp;B'!AF370</f>
        <v>811109.47254614462</v>
      </c>
      <c r="O4" s="1">
        <f>'[3]Proyecciones R&amp;B'!AG370</f>
        <v>953983.03561556851</v>
      </c>
    </row>
    <row r="5" spans="1:15" x14ac:dyDescent="0.35">
      <c r="A5" t="s">
        <v>6</v>
      </c>
      <c r="B5" t="s">
        <v>15</v>
      </c>
      <c r="C5" t="s">
        <v>25</v>
      </c>
      <c r="D5" s="1">
        <f>'[3]Proyecciones R&amp;B'!V371</f>
        <v>0</v>
      </c>
      <c r="E5" s="1">
        <f>'[3]Proyecciones R&amp;B'!W371</f>
        <v>0</v>
      </c>
      <c r="F5" s="1">
        <f>'[3]Proyecciones R&amp;B'!X371</f>
        <v>0</v>
      </c>
      <c r="G5" s="1">
        <f>'[3]Proyecciones R&amp;B'!Y371</f>
        <v>0</v>
      </c>
      <c r="H5" s="1">
        <f>'[3]Proyecciones R&amp;B'!Z371</f>
        <v>0</v>
      </c>
      <c r="I5" s="1">
        <f>'[3]Proyecciones R&amp;B'!AA371</f>
        <v>0</v>
      </c>
      <c r="J5" s="1">
        <f>'[3]Proyecciones R&amp;B'!AB371</f>
        <v>0</v>
      </c>
      <c r="K5" s="1">
        <f>'[3]Proyecciones R&amp;B'!AC371</f>
        <v>13403197.404172868</v>
      </c>
      <c r="L5" s="1">
        <f>'[3]Proyecciones R&amp;B'!AD371</f>
        <v>9405375.6856596451</v>
      </c>
      <c r="M5" s="1">
        <f>'[3]Proyecciones R&amp;B'!AE371</f>
        <v>0</v>
      </c>
      <c r="N5" s="1">
        <f>'[3]Proyecciones R&amp;B'!AF371</f>
        <v>0</v>
      </c>
      <c r="O5" s="1">
        <f>'[3]Proyecciones R&amp;B'!AG371</f>
        <v>0</v>
      </c>
    </row>
    <row r="6" spans="1:15" x14ac:dyDescent="0.35">
      <c r="A6" t="s">
        <v>10</v>
      </c>
      <c r="B6" t="s">
        <v>15</v>
      </c>
      <c r="C6" t="s">
        <v>22</v>
      </c>
      <c r="D6" s="1">
        <f>'[3]Proyecciones R&amp;B'!V372</f>
        <v>0</v>
      </c>
      <c r="E6" s="1">
        <f>'[3]Proyecciones R&amp;B'!W372</f>
        <v>0</v>
      </c>
      <c r="F6" s="1">
        <f>'[3]Proyecciones R&amp;B'!X372</f>
        <v>0</v>
      </c>
      <c r="G6" s="1">
        <f>'[3]Proyecciones R&amp;B'!Y372</f>
        <v>0</v>
      </c>
      <c r="H6" s="1">
        <f>'[3]Proyecciones R&amp;B'!Z372</f>
        <v>0</v>
      </c>
      <c r="I6" s="1">
        <f>'[3]Proyecciones R&amp;B'!AA372</f>
        <v>0</v>
      </c>
      <c r="J6" s="1">
        <f>'[3]Proyecciones R&amp;B'!AB372</f>
        <v>0</v>
      </c>
      <c r="K6" s="1">
        <f>'[3]Proyecciones R&amp;B'!AC372</f>
        <v>0</v>
      </c>
      <c r="L6" s="1">
        <f>'[3]Proyecciones R&amp;B'!AD372</f>
        <v>0</v>
      </c>
      <c r="M6" s="1">
        <f>'[3]Proyecciones R&amp;B'!AE372</f>
        <v>0</v>
      </c>
      <c r="N6" s="1">
        <f>'[3]Proyecciones R&amp;B'!AF372</f>
        <v>0</v>
      </c>
      <c r="O6" s="1">
        <f>'[3]Proyecciones R&amp;B'!AG372</f>
        <v>0</v>
      </c>
    </row>
    <row r="7" spans="1:15" x14ac:dyDescent="0.35">
      <c r="A7" t="s">
        <v>10</v>
      </c>
      <c r="B7" t="s">
        <v>15</v>
      </c>
      <c r="C7" t="s">
        <v>23</v>
      </c>
      <c r="D7" s="1">
        <f>'[3]Proyecciones R&amp;B'!V373</f>
        <v>337311.65727275226</v>
      </c>
      <c r="E7" s="1">
        <f>'[3]Proyecciones R&amp;B'!W373</f>
        <v>347275.96392716101</v>
      </c>
      <c r="F7" s="1">
        <f>'[3]Proyecciones R&amp;B'!X373</f>
        <v>327334.53893045709</v>
      </c>
      <c r="G7" s="1">
        <f>'[3]Proyecciones R&amp;B'!Y373</f>
        <v>328845.02839287766</v>
      </c>
      <c r="H7" s="1">
        <f>'[3]Proyecciones R&amp;B'!Z373</f>
        <v>318325.07062799798</v>
      </c>
      <c r="I7" s="1">
        <f>'[3]Proyecciones R&amp;B'!AA373</f>
        <v>285801.42206741939</v>
      </c>
      <c r="J7" s="1">
        <f>'[3]Proyecciones R&amp;B'!AB373</f>
        <v>309880.77741627878</v>
      </c>
      <c r="K7" s="1">
        <f>'[3]Proyecciones R&amp;B'!AC373</f>
        <v>316352.58159293077</v>
      </c>
      <c r="L7" s="1">
        <f>'[3]Proyecciones R&amp;B'!AD373</f>
        <v>275629.55064773222</v>
      </c>
      <c r="M7" s="1">
        <f>'[3]Proyecciones R&amp;B'!AE373</f>
        <v>313636.33894276264</v>
      </c>
      <c r="N7" s="1">
        <f>'[3]Proyecciones R&amp;B'!AF373</f>
        <v>286358.44847693847</v>
      </c>
      <c r="O7" s="1">
        <f>'[3]Proyecciones R&amp;B'!AG373</f>
        <v>337651.36572680698</v>
      </c>
    </row>
    <row r="8" spans="1:15" x14ac:dyDescent="0.35">
      <c r="A8" t="s">
        <v>10</v>
      </c>
      <c r="B8" t="s">
        <v>15</v>
      </c>
      <c r="C8" t="s">
        <v>24</v>
      </c>
      <c r="D8" s="1">
        <f>'[3]Proyecciones R&amp;B'!V374</f>
        <v>0</v>
      </c>
      <c r="E8" s="1">
        <f>'[3]Proyecciones R&amp;B'!W374</f>
        <v>0</v>
      </c>
      <c r="F8" s="1">
        <f>'[3]Proyecciones R&amp;B'!X374</f>
        <v>0</v>
      </c>
      <c r="G8" s="1">
        <f>'[3]Proyecciones R&amp;B'!Y374</f>
        <v>0</v>
      </c>
      <c r="H8" s="1">
        <f>'[3]Proyecciones R&amp;B'!Z374</f>
        <v>0</v>
      </c>
      <c r="I8" s="1">
        <f>'[3]Proyecciones R&amp;B'!AA374</f>
        <v>0</v>
      </c>
      <c r="J8" s="1">
        <f>'[3]Proyecciones R&amp;B'!AB374</f>
        <v>0</v>
      </c>
      <c r="K8" s="1">
        <f>'[3]Proyecciones R&amp;B'!AC374</f>
        <v>0</v>
      </c>
      <c r="L8" s="1">
        <f>'[3]Proyecciones R&amp;B'!AD374</f>
        <v>0</v>
      </c>
      <c r="M8" s="1">
        <f>'[3]Proyecciones R&amp;B'!AE374</f>
        <v>0</v>
      </c>
      <c r="N8" s="1">
        <f>'[3]Proyecciones R&amp;B'!AF374</f>
        <v>0</v>
      </c>
      <c r="O8" s="1">
        <f>'[3]Proyecciones R&amp;B'!AG374</f>
        <v>0</v>
      </c>
    </row>
    <row r="9" spans="1:15" x14ac:dyDescent="0.35">
      <c r="A9" t="s">
        <v>10</v>
      </c>
      <c r="B9" t="s">
        <v>15</v>
      </c>
      <c r="C9" t="s">
        <v>25</v>
      </c>
      <c r="D9" s="1">
        <f>'[3]Proyecciones R&amp;B'!V375</f>
        <v>1020408.1632653062</v>
      </c>
      <c r="E9" s="1">
        <f>'[3]Proyecciones R&amp;B'!W375</f>
        <v>4081632.6530612246</v>
      </c>
      <c r="F9" s="1">
        <f>'[3]Proyecciones R&amp;B'!X375</f>
        <v>1020408.1632653062</v>
      </c>
      <c r="G9" s="1">
        <f>'[3]Proyecciones R&amp;B'!Y375</f>
        <v>0</v>
      </c>
      <c r="H9" s="1">
        <f>'[3]Proyecciones R&amp;B'!Z375</f>
        <v>4081632.6530612246</v>
      </c>
      <c r="I9" s="1">
        <f>'[3]Proyecciones R&amp;B'!AA375</f>
        <v>1020408.1632653062</v>
      </c>
      <c r="J9" s="1">
        <f>'[3]Proyecciones R&amp;B'!AB375</f>
        <v>1020408.1632653062</v>
      </c>
      <c r="K9" s="1">
        <f>'[3]Proyecciones R&amp;B'!AC375</f>
        <v>3061224.4897959186</v>
      </c>
      <c r="L9" s="1">
        <f>'[3]Proyecciones R&amp;B'!AD375</f>
        <v>78724.102993401902</v>
      </c>
      <c r="M9" s="1">
        <f>'[3]Proyecciones R&amp;B'!AE375</f>
        <v>0</v>
      </c>
      <c r="N9" s="1">
        <f>'[3]Proyecciones R&amp;B'!AF375</f>
        <v>3061224.4897959186</v>
      </c>
      <c r="O9" s="1">
        <f>'[3]Proyecciones R&amp;B'!AG375</f>
        <v>0</v>
      </c>
    </row>
    <row r="10" spans="1:15" x14ac:dyDescent="0.35">
      <c r="A10" t="s">
        <v>5</v>
      </c>
      <c r="B10" t="s">
        <v>15</v>
      </c>
      <c r="C10" t="s">
        <v>22</v>
      </c>
      <c r="D10" s="1">
        <f>'[3]Proyecciones R&amp;B'!V376</f>
        <v>0</v>
      </c>
      <c r="E10" s="1">
        <f>'[3]Proyecciones R&amp;B'!W376</f>
        <v>0</v>
      </c>
      <c r="F10" s="1">
        <f>'[3]Proyecciones R&amp;B'!X376</f>
        <v>0</v>
      </c>
      <c r="G10" s="1">
        <f>'[3]Proyecciones R&amp;B'!Y376</f>
        <v>0</v>
      </c>
      <c r="H10" s="1">
        <f>'[3]Proyecciones R&amp;B'!Z376</f>
        <v>0</v>
      </c>
      <c r="I10" s="1">
        <f>'[3]Proyecciones R&amp;B'!AA376</f>
        <v>0</v>
      </c>
      <c r="J10" s="1">
        <f>'[3]Proyecciones R&amp;B'!AB376</f>
        <v>0</v>
      </c>
      <c r="K10" s="1">
        <f>'[3]Proyecciones R&amp;B'!AC376</f>
        <v>0</v>
      </c>
      <c r="L10" s="1">
        <f>'[3]Proyecciones R&amp;B'!AD376</f>
        <v>0</v>
      </c>
      <c r="M10" s="1">
        <f>'[3]Proyecciones R&amp;B'!AE376</f>
        <v>0</v>
      </c>
      <c r="N10" s="1">
        <f>'[3]Proyecciones R&amp;B'!AF376</f>
        <v>0</v>
      </c>
      <c r="O10" s="1">
        <f>'[3]Proyecciones R&amp;B'!AG376</f>
        <v>0</v>
      </c>
    </row>
    <row r="11" spans="1:15" x14ac:dyDescent="0.35">
      <c r="A11" t="s">
        <v>5</v>
      </c>
      <c r="B11" t="s">
        <v>15</v>
      </c>
      <c r="C11" t="s">
        <v>23</v>
      </c>
      <c r="D11" s="1">
        <f>'[3]Proyecciones R&amp;B'!V377</f>
        <v>246622.36184091793</v>
      </c>
      <c r="E11" s="1">
        <f>'[3]Proyecciones R&amp;B'!W377</f>
        <v>316104.84250592138</v>
      </c>
      <c r="F11" s="1">
        <f>'[3]Proyecciones R&amp;B'!X377</f>
        <v>268975.59639569902</v>
      </c>
      <c r="G11" s="1">
        <f>'[3]Proyecciones R&amp;B'!Y377</f>
        <v>324910.38646507636</v>
      </c>
      <c r="H11" s="1">
        <f>'[3]Proyecciones R&amp;B'!Z377</f>
        <v>344027.15192762419</v>
      </c>
      <c r="I11" s="1">
        <f>'[3]Proyecciones R&amp;B'!AA377</f>
        <v>272219.55881634686</v>
      </c>
      <c r="J11" s="1">
        <f>'[3]Proyecciones R&amp;B'!AB377</f>
        <v>290872.41550857562</v>
      </c>
      <c r="K11" s="1">
        <f>'[3]Proyecciones R&amp;B'!AC377</f>
        <v>378098.6842493072</v>
      </c>
      <c r="L11" s="1">
        <f>'[3]Proyecciones R&amp;B'!AD377</f>
        <v>316246.84935670393</v>
      </c>
      <c r="M11" s="1">
        <f>'[3]Proyecciones R&amp;B'!AE377</f>
        <v>290546.04777638149</v>
      </c>
      <c r="N11" s="1">
        <f>'[3]Proyecciones R&amp;B'!AF377</f>
        <v>248270.77821199442</v>
      </c>
      <c r="O11" s="1">
        <f>'[3]Proyecciones R&amp;B'!AG377</f>
        <v>268459.15340697451</v>
      </c>
    </row>
    <row r="12" spans="1:15" x14ac:dyDescent="0.35">
      <c r="A12" t="s">
        <v>5</v>
      </c>
      <c r="B12" t="s">
        <v>15</v>
      </c>
      <c r="C12" t="s">
        <v>24</v>
      </c>
      <c r="D12" s="1">
        <f>'[3]Proyecciones R&amp;B'!V378</f>
        <v>0</v>
      </c>
      <c r="E12" s="1">
        <f>'[3]Proyecciones R&amp;B'!W378</f>
        <v>0</v>
      </c>
      <c r="F12" s="1">
        <f>'[3]Proyecciones R&amp;B'!X378</f>
        <v>0</v>
      </c>
      <c r="G12" s="1">
        <f>'[3]Proyecciones R&amp;B'!Y378</f>
        <v>0</v>
      </c>
      <c r="H12" s="1">
        <f>'[3]Proyecciones R&amp;B'!Z378</f>
        <v>0</v>
      </c>
      <c r="I12" s="1">
        <f>'[3]Proyecciones R&amp;B'!AA378</f>
        <v>0</v>
      </c>
      <c r="J12" s="1">
        <f>'[3]Proyecciones R&amp;B'!AB378</f>
        <v>0</v>
      </c>
      <c r="K12" s="1">
        <f>'[3]Proyecciones R&amp;B'!AC378</f>
        <v>0</v>
      </c>
      <c r="L12" s="1">
        <f>'[3]Proyecciones R&amp;B'!AD378</f>
        <v>0</v>
      </c>
      <c r="M12" s="1">
        <f>'[3]Proyecciones R&amp;B'!AE378</f>
        <v>0</v>
      </c>
      <c r="N12" s="1">
        <f>'[3]Proyecciones R&amp;B'!AF378</f>
        <v>0</v>
      </c>
      <c r="O12" s="1">
        <f>'[3]Proyecciones R&amp;B'!AG378</f>
        <v>0</v>
      </c>
    </row>
    <row r="13" spans="1:15" x14ac:dyDescent="0.35">
      <c r="A13" t="s">
        <v>5</v>
      </c>
      <c r="B13" t="s">
        <v>15</v>
      </c>
      <c r="C13" t="s">
        <v>25</v>
      </c>
      <c r="D13" s="1">
        <f>'[3]Proyecciones R&amp;B'!V379</f>
        <v>0</v>
      </c>
      <c r="E13" s="1">
        <f>'[3]Proyecciones R&amp;B'!W379</f>
        <v>0</v>
      </c>
      <c r="F13" s="1">
        <f>'[3]Proyecciones R&amp;B'!X379</f>
        <v>0</v>
      </c>
      <c r="G13" s="1">
        <f>'[3]Proyecciones R&amp;B'!Y379</f>
        <v>0</v>
      </c>
      <c r="H13" s="1">
        <f>'[3]Proyecciones R&amp;B'!Z379</f>
        <v>0</v>
      </c>
      <c r="I13" s="1">
        <f>'[3]Proyecciones R&amp;B'!AA379</f>
        <v>0</v>
      </c>
      <c r="J13" s="1">
        <f>'[3]Proyecciones R&amp;B'!AB379</f>
        <v>0</v>
      </c>
      <c r="K13" s="1">
        <f>'[3]Proyecciones R&amp;B'!AC379</f>
        <v>1646.2106563558643</v>
      </c>
      <c r="L13" s="1">
        <f>'[3]Proyecciones R&amp;B'!AD379</f>
        <v>1376.9128408463316</v>
      </c>
      <c r="M13" s="1">
        <f>'[3]Proyecciones R&amp;B'!AE379</f>
        <v>0</v>
      </c>
      <c r="N13" s="1">
        <f>'[3]Proyecciones R&amp;B'!AF379</f>
        <v>0</v>
      </c>
      <c r="O13" s="1">
        <f>'[3]Proyecciones R&amp;B'!AG379</f>
        <v>0</v>
      </c>
    </row>
    <row r="14" spans="1:15" x14ac:dyDescent="0.35">
      <c r="A14" t="s">
        <v>16</v>
      </c>
      <c r="B14" t="s">
        <v>15</v>
      </c>
      <c r="C14" t="s">
        <v>22</v>
      </c>
      <c r="D14" s="1">
        <f>'[3]Proyecciones R&amp;B'!V380</f>
        <v>0</v>
      </c>
      <c r="E14" s="1">
        <f>'[3]Proyecciones R&amp;B'!W380</f>
        <v>0</v>
      </c>
      <c r="F14" s="1">
        <f>'[3]Proyecciones R&amp;B'!X380</f>
        <v>0</v>
      </c>
      <c r="G14" s="1">
        <f>'[3]Proyecciones R&amp;B'!Y380</f>
        <v>0</v>
      </c>
      <c r="H14" s="1">
        <f>'[3]Proyecciones R&amp;B'!Z380</f>
        <v>0</v>
      </c>
      <c r="I14" s="1">
        <f>'[3]Proyecciones R&amp;B'!AA380</f>
        <v>0</v>
      </c>
      <c r="J14" s="1">
        <f>'[3]Proyecciones R&amp;B'!AB380</f>
        <v>0</v>
      </c>
      <c r="K14" s="1">
        <f>'[3]Proyecciones R&amp;B'!AC380</f>
        <v>0</v>
      </c>
      <c r="L14" s="1">
        <f>'[3]Proyecciones R&amp;B'!AD380</f>
        <v>0</v>
      </c>
      <c r="M14" s="1">
        <f>'[3]Proyecciones R&amp;B'!AE380</f>
        <v>0</v>
      </c>
      <c r="N14" s="1">
        <f>'[3]Proyecciones R&amp;B'!AF380</f>
        <v>0</v>
      </c>
      <c r="O14" s="1">
        <f>'[3]Proyecciones R&amp;B'!AG380</f>
        <v>0</v>
      </c>
    </row>
    <row r="15" spans="1:15" x14ac:dyDescent="0.35">
      <c r="A15" t="s">
        <v>16</v>
      </c>
      <c r="B15" t="s">
        <v>15</v>
      </c>
      <c r="C15" t="s">
        <v>23</v>
      </c>
      <c r="D15" s="1">
        <f>'[3]Proyecciones R&amp;B'!V381</f>
        <v>52872.859293878508</v>
      </c>
      <c r="E15" s="1">
        <f>'[3]Proyecciones R&amp;B'!W381</f>
        <v>73458.865179863729</v>
      </c>
      <c r="F15" s="1">
        <f>'[3]Proyecciones R&amp;B'!X381</f>
        <v>77288.79755670407</v>
      </c>
      <c r="G15" s="1">
        <f>'[3]Proyecciones R&amp;B'!Y381</f>
        <v>75979.047256529098</v>
      </c>
      <c r="H15" s="1">
        <f>'[3]Proyecciones R&amp;B'!Z381</f>
        <v>76072.452740500215</v>
      </c>
      <c r="I15" s="1">
        <f>'[3]Proyecciones R&amp;B'!AA381</f>
        <v>79125.887630946803</v>
      </c>
      <c r="J15" s="1">
        <f>'[3]Proyecciones R&amp;B'!AB381</f>
        <v>87809.116032920327</v>
      </c>
      <c r="K15" s="1">
        <f>'[3]Proyecciones R&amp;B'!AC381</f>
        <v>102873.93904809667</v>
      </c>
      <c r="L15" s="1">
        <f>'[3]Proyecciones R&amp;B'!AD381</f>
        <v>74212.977133288136</v>
      </c>
      <c r="M15" s="1">
        <f>'[3]Proyecciones R&amp;B'!AE381</f>
        <v>78255.168129738624</v>
      </c>
      <c r="N15" s="1">
        <f>'[3]Proyecciones R&amp;B'!AF381</f>
        <v>75520.082301077899</v>
      </c>
      <c r="O15" s="1">
        <f>'[3]Proyecciones R&amp;B'!AG381</f>
        <v>92377.247368965938</v>
      </c>
    </row>
    <row r="16" spans="1:15" x14ac:dyDescent="0.35">
      <c r="A16" t="s">
        <v>16</v>
      </c>
      <c r="B16" t="s">
        <v>15</v>
      </c>
      <c r="C16" t="s">
        <v>24</v>
      </c>
      <c r="D16" s="1">
        <f>'[3]Proyecciones R&amp;B'!V382</f>
        <v>0</v>
      </c>
      <c r="E16" s="1">
        <f>'[3]Proyecciones R&amp;B'!W382</f>
        <v>0</v>
      </c>
      <c r="F16" s="1">
        <f>'[3]Proyecciones R&amp;B'!X382</f>
        <v>0</v>
      </c>
      <c r="G16" s="1">
        <f>'[3]Proyecciones R&amp;B'!Y382</f>
        <v>0</v>
      </c>
      <c r="H16" s="1">
        <f>'[3]Proyecciones R&amp;B'!Z382</f>
        <v>0</v>
      </c>
      <c r="I16" s="1">
        <f>'[3]Proyecciones R&amp;B'!AA382</f>
        <v>0</v>
      </c>
      <c r="J16" s="1">
        <f>'[3]Proyecciones R&amp;B'!AB382</f>
        <v>0</v>
      </c>
      <c r="K16" s="1">
        <f>'[3]Proyecciones R&amp;B'!AC382</f>
        <v>0</v>
      </c>
      <c r="L16" s="1">
        <f>'[3]Proyecciones R&amp;B'!AD382</f>
        <v>0</v>
      </c>
      <c r="M16" s="1">
        <f>'[3]Proyecciones R&amp;B'!AE382</f>
        <v>0</v>
      </c>
      <c r="N16" s="1">
        <f>'[3]Proyecciones R&amp;B'!AF382</f>
        <v>0</v>
      </c>
      <c r="O16" s="1">
        <f>'[3]Proyecciones R&amp;B'!AG382</f>
        <v>0</v>
      </c>
    </row>
    <row r="17" spans="1:15" x14ac:dyDescent="0.35">
      <c r="A17" t="s">
        <v>16</v>
      </c>
      <c r="B17" t="s">
        <v>15</v>
      </c>
      <c r="C17" t="s">
        <v>25</v>
      </c>
      <c r="D17" s="1">
        <f>'[3]Proyecciones R&amp;B'!V383</f>
        <v>0</v>
      </c>
      <c r="E17" s="1">
        <f>'[3]Proyecciones R&amp;B'!W383</f>
        <v>0</v>
      </c>
      <c r="F17" s="1">
        <f>'[3]Proyecciones R&amp;B'!X383</f>
        <v>0</v>
      </c>
      <c r="G17" s="1">
        <f>'[3]Proyecciones R&amp;B'!Y383</f>
        <v>0</v>
      </c>
      <c r="H17" s="1">
        <f>'[3]Proyecciones R&amp;B'!Z383</f>
        <v>0</v>
      </c>
      <c r="I17" s="1">
        <f>'[3]Proyecciones R&amp;B'!AA383</f>
        <v>0</v>
      </c>
      <c r="J17" s="1">
        <f>'[3]Proyecciones R&amp;B'!AB383</f>
        <v>0</v>
      </c>
      <c r="K17" s="1">
        <f>'[3]Proyecciones R&amp;B'!AC383</f>
        <v>2364.9579409128337</v>
      </c>
      <c r="L17" s="1">
        <f>'[3]Proyecciones R&amp;B'!AD383</f>
        <v>1706.0741643040988</v>
      </c>
      <c r="M17" s="1">
        <f>'[3]Proyecciones R&amp;B'!AE383</f>
        <v>0</v>
      </c>
      <c r="N17" s="1">
        <f>'[3]Proyecciones R&amp;B'!AF383</f>
        <v>0</v>
      </c>
      <c r="O17" s="1">
        <f>'[3]Proyecciones R&amp;B'!AG383</f>
        <v>0</v>
      </c>
    </row>
    <row r="18" spans="1:15" x14ac:dyDescent="0.35">
      <c r="A18" t="s">
        <v>18</v>
      </c>
      <c r="B18" t="s">
        <v>15</v>
      </c>
      <c r="C18" t="s">
        <v>22</v>
      </c>
      <c r="D18" s="1">
        <f>'[3]Proyecciones R&amp;B'!V384</f>
        <v>0</v>
      </c>
      <c r="E18" s="1">
        <f>'[3]Proyecciones R&amp;B'!W384</f>
        <v>0</v>
      </c>
      <c r="F18" s="1">
        <f>'[3]Proyecciones R&amp;B'!X384</f>
        <v>0</v>
      </c>
      <c r="G18" s="1">
        <f>'[3]Proyecciones R&amp;B'!Y384</f>
        <v>0</v>
      </c>
      <c r="H18" s="1">
        <f>'[3]Proyecciones R&amp;B'!Z384</f>
        <v>0</v>
      </c>
      <c r="I18" s="1">
        <f>'[3]Proyecciones R&amp;B'!AA384</f>
        <v>0</v>
      </c>
      <c r="J18" s="1">
        <f>'[3]Proyecciones R&amp;B'!AB384</f>
        <v>0</v>
      </c>
      <c r="K18" s="1">
        <f>'[3]Proyecciones R&amp;B'!AC384</f>
        <v>0</v>
      </c>
      <c r="L18" s="1">
        <f>'[3]Proyecciones R&amp;B'!AD384</f>
        <v>0</v>
      </c>
      <c r="M18" s="1">
        <f>'[3]Proyecciones R&amp;B'!AE384</f>
        <v>0</v>
      </c>
      <c r="N18" s="1">
        <f>'[3]Proyecciones R&amp;B'!AF384</f>
        <v>0</v>
      </c>
      <c r="O18" s="1">
        <f>'[3]Proyecciones R&amp;B'!AG384</f>
        <v>0</v>
      </c>
    </row>
    <row r="19" spans="1:15" x14ac:dyDescent="0.35">
      <c r="A19" t="s">
        <v>18</v>
      </c>
      <c r="B19" t="s">
        <v>15</v>
      </c>
      <c r="C19" t="s">
        <v>23</v>
      </c>
      <c r="D19" s="1">
        <f>'[3]Proyecciones R&amp;B'!V385</f>
        <v>366.5910521853607</v>
      </c>
      <c r="E19" s="1">
        <f>'[3]Proyecciones R&amp;B'!W385</f>
        <v>332.63295786503039</v>
      </c>
      <c r="F19" s="1">
        <f>'[3]Proyecciones R&amp;B'!X385</f>
        <v>360.13866234133786</v>
      </c>
      <c r="G19" s="1">
        <f>'[3]Proyecciones R&amp;B'!Y385</f>
        <v>419.86929639827247</v>
      </c>
      <c r="H19" s="1">
        <f>'[3]Proyecciones R&amp;B'!Z385</f>
        <v>382.71857761663233</v>
      </c>
      <c r="I19" s="1">
        <f>'[3]Proyecciones R&amp;B'!AA385</f>
        <v>380.76092150960847</v>
      </c>
      <c r="J19" s="1">
        <f>'[3]Proyecciones R&amp;B'!AB385</f>
        <v>415.38600610283754</v>
      </c>
      <c r="K19" s="1">
        <f>'[3]Proyecciones R&amp;B'!AC385</f>
        <v>550.86150729846054</v>
      </c>
      <c r="L19" s="1">
        <f>'[3]Proyecciones R&amp;B'!AD385</f>
        <v>400.48747260369618</v>
      </c>
      <c r="M19" s="1">
        <f>'[3]Proyecciones R&amp;B'!AE385</f>
        <v>386.22638210901289</v>
      </c>
      <c r="N19" s="1">
        <f>'[3]Proyecciones R&amp;B'!AF385</f>
        <v>314.91541588624773</v>
      </c>
      <c r="O19" s="1">
        <f>'[3]Proyecciones R&amp;B'!AG385</f>
        <v>360.90877668489583</v>
      </c>
    </row>
    <row r="20" spans="1:15" x14ac:dyDescent="0.35">
      <c r="A20" t="s">
        <v>18</v>
      </c>
      <c r="B20" t="s">
        <v>15</v>
      </c>
      <c r="C20" t="s">
        <v>24</v>
      </c>
      <c r="D20" s="1">
        <f>'[3]Proyecciones R&amp;B'!V386</f>
        <v>0</v>
      </c>
      <c r="E20" s="1">
        <f>'[3]Proyecciones R&amp;B'!W386</f>
        <v>0</v>
      </c>
      <c r="F20" s="1">
        <f>'[3]Proyecciones R&amp;B'!X386</f>
        <v>0</v>
      </c>
      <c r="G20" s="1">
        <f>'[3]Proyecciones R&amp;B'!Y386</f>
        <v>0</v>
      </c>
      <c r="H20" s="1">
        <f>'[3]Proyecciones R&amp;B'!Z386</f>
        <v>0</v>
      </c>
      <c r="I20" s="1">
        <f>'[3]Proyecciones R&amp;B'!AA386</f>
        <v>0</v>
      </c>
      <c r="J20" s="1">
        <f>'[3]Proyecciones R&amp;B'!AB386</f>
        <v>0</v>
      </c>
      <c r="K20" s="1">
        <f>'[3]Proyecciones R&amp;B'!AC386</f>
        <v>0</v>
      </c>
      <c r="L20" s="1">
        <f>'[3]Proyecciones R&amp;B'!AD386</f>
        <v>0</v>
      </c>
      <c r="M20" s="1">
        <f>'[3]Proyecciones R&amp;B'!AE386</f>
        <v>0</v>
      </c>
      <c r="N20" s="1">
        <f>'[3]Proyecciones R&amp;B'!AF386</f>
        <v>0</v>
      </c>
      <c r="O20" s="1">
        <f>'[3]Proyecciones R&amp;B'!AG386</f>
        <v>0</v>
      </c>
    </row>
    <row r="21" spans="1:15" x14ac:dyDescent="0.35">
      <c r="A21" t="s">
        <v>18</v>
      </c>
      <c r="B21" t="s">
        <v>15</v>
      </c>
      <c r="C21" t="s">
        <v>25</v>
      </c>
      <c r="D21" s="1">
        <f>'[3]Proyecciones R&amp;B'!V387</f>
        <v>0</v>
      </c>
      <c r="E21" s="1">
        <f>'[3]Proyecciones R&amp;B'!W387</f>
        <v>0</v>
      </c>
      <c r="F21" s="1">
        <f>'[3]Proyecciones R&amp;B'!X387</f>
        <v>0</v>
      </c>
      <c r="G21" s="1">
        <f>'[3]Proyecciones R&amp;B'!Y387</f>
        <v>0</v>
      </c>
      <c r="H21" s="1">
        <f>'[3]Proyecciones R&amp;B'!Z387</f>
        <v>0</v>
      </c>
      <c r="I21" s="1">
        <f>'[3]Proyecciones R&amp;B'!AA387</f>
        <v>0</v>
      </c>
      <c r="J21" s="1">
        <f>'[3]Proyecciones R&amp;B'!AB387</f>
        <v>0</v>
      </c>
      <c r="K21" s="1">
        <f>'[3]Proyecciones R&amp;B'!AC387</f>
        <v>4903.3697498597876</v>
      </c>
      <c r="L21" s="1">
        <f>'[3]Proyecciones R&amp;B'!AD387</f>
        <v>3564.8491178723762</v>
      </c>
      <c r="M21" s="1">
        <f>'[3]Proyecciones R&amp;B'!AE387</f>
        <v>0</v>
      </c>
      <c r="N21" s="1">
        <f>'[3]Proyecciones R&amp;B'!AF387</f>
        <v>0</v>
      </c>
      <c r="O21" s="1">
        <f>'[3]Proyecciones R&amp;B'!AG387</f>
        <v>0</v>
      </c>
    </row>
    <row r="22" spans="1:15" x14ac:dyDescent="0.35">
      <c r="A22" t="s">
        <v>17</v>
      </c>
      <c r="B22" t="s">
        <v>15</v>
      </c>
      <c r="C22" t="s">
        <v>22</v>
      </c>
      <c r="D22" s="1">
        <f>'[3]Proyecciones R&amp;B'!V388</f>
        <v>0</v>
      </c>
      <c r="E22" s="1">
        <f>'[3]Proyecciones R&amp;B'!W388</f>
        <v>0</v>
      </c>
      <c r="F22" s="1">
        <f>'[3]Proyecciones R&amp;B'!X388</f>
        <v>0</v>
      </c>
      <c r="G22" s="1">
        <f>'[3]Proyecciones R&amp;B'!Y388</f>
        <v>0</v>
      </c>
      <c r="H22" s="1">
        <f>'[3]Proyecciones R&amp;B'!Z388</f>
        <v>0</v>
      </c>
      <c r="I22" s="1">
        <f>'[3]Proyecciones R&amp;B'!AA388</f>
        <v>0</v>
      </c>
      <c r="J22" s="1">
        <f>'[3]Proyecciones R&amp;B'!AB388</f>
        <v>0</v>
      </c>
      <c r="K22" s="1">
        <f>'[3]Proyecciones R&amp;B'!AC388</f>
        <v>0</v>
      </c>
      <c r="L22" s="1">
        <f>'[3]Proyecciones R&amp;B'!AD388</f>
        <v>0</v>
      </c>
      <c r="M22" s="1">
        <f>'[3]Proyecciones R&amp;B'!AE388</f>
        <v>0</v>
      </c>
      <c r="N22" s="1">
        <f>'[3]Proyecciones R&amp;B'!AF388</f>
        <v>0</v>
      </c>
      <c r="O22" s="1">
        <f>'[3]Proyecciones R&amp;B'!AG388</f>
        <v>0</v>
      </c>
    </row>
    <row r="23" spans="1:15" x14ac:dyDescent="0.35">
      <c r="A23" t="s">
        <v>17</v>
      </c>
      <c r="B23" t="s">
        <v>15</v>
      </c>
      <c r="C23" t="s">
        <v>23</v>
      </c>
      <c r="D23" s="1">
        <f>'[3]Proyecciones R&amp;B'!V389</f>
        <v>0</v>
      </c>
      <c r="E23" s="1">
        <f>'[3]Proyecciones R&amp;B'!W389</f>
        <v>0</v>
      </c>
      <c r="F23" s="1">
        <f>'[3]Proyecciones R&amp;B'!X389</f>
        <v>0</v>
      </c>
      <c r="G23" s="1">
        <f>'[3]Proyecciones R&amp;B'!Y389</f>
        <v>0</v>
      </c>
      <c r="H23" s="1">
        <f>'[3]Proyecciones R&amp;B'!Z389</f>
        <v>0</v>
      </c>
      <c r="I23" s="1">
        <f>'[3]Proyecciones R&amp;B'!AA389</f>
        <v>0</v>
      </c>
      <c r="J23" s="1">
        <f>'[3]Proyecciones R&amp;B'!AB389</f>
        <v>0</v>
      </c>
      <c r="K23" s="1">
        <f>'[3]Proyecciones R&amp;B'!AC389</f>
        <v>0</v>
      </c>
      <c r="L23" s="1">
        <f>'[3]Proyecciones R&amp;B'!AD389</f>
        <v>0</v>
      </c>
      <c r="M23" s="1">
        <f>'[3]Proyecciones R&amp;B'!AE389</f>
        <v>0</v>
      </c>
      <c r="N23" s="1">
        <f>'[3]Proyecciones R&amp;B'!AF389</f>
        <v>0</v>
      </c>
      <c r="O23" s="1">
        <f>'[3]Proyecciones R&amp;B'!AG389</f>
        <v>0</v>
      </c>
    </row>
    <row r="24" spans="1:15" x14ac:dyDescent="0.35">
      <c r="A24" t="s">
        <v>17</v>
      </c>
      <c r="B24" t="s">
        <v>15</v>
      </c>
      <c r="C24" t="s">
        <v>24</v>
      </c>
      <c r="D24" s="1">
        <f>'[3]Proyecciones R&amp;B'!V390</f>
        <v>0</v>
      </c>
      <c r="E24" s="1">
        <f>'[3]Proyecciones R&amp;B'!W390</f>
        <v>0</v>
      </c>
      <c r="F24" s="1">
        <f>'[3]Proyecciones R&amp;B'!X390</f>
        <v>0</v>
      </c>
      <c r="G24" s="1">
        <f>'[3]Proyecciones R&amp;B'!Y390</f>
        <v>0</v>
      </c>
      <c r="H24" s="1">
        <f>'[3]Proyecciones R&amp;B'!Z390</f>
        <v>0</v>
      </c>
      <c r="I24" s="1">
        <f>'[3]Proyecciones R&amp;B'!AA390</f>
        <v>0</v>
      </c>
      <c r="J24" s="1">
        <f>'[3]Proyecciones R&amp;B'!AB390</f>
        <v>0</v>
      </c>
      <c r="K24" s="1">
        <f>'[3]Proyecciones R&amp;B'!AC390</f>
        <v>0</v>
      </c>
      <c r="L24" s="1">
        <f>'[3]Proyecciones R&amp;B'!AD390</f>
        <v>0</v>
      </c>
      <c r="M24" s="1">
        <f>'[3]Proyecciones R&amp;B'!AE390</f>
        <v>0</v>
      </c>
      <c r="N24" s="1">
        <f>'[3]Proyecciones R&amp;B'!AF390</f>
        <v>0</v>
      </c>
      <c r="O24" s="1">
        <f>'[3]Proyecciones R&amp;B'!AG390</f>
        <v>0</v>
      </c>
    </row>
    <row r="25" spans="1:15" x14ac:dyDescent="0.35">
      <c r="A25" t="s">
        <v>17</v>
      </c>
      <c r="B25" t="s">
        <v>15</v>
      </c>
      <c r="C25" t="s">
        <v>25</v>
      </c>
      <c r="D25" s="1">
        <f>'[3]Proyecciones R&amp;B'!V391</f>
        <v>0</v>
      </c>
      <c r="E25" s="1">
        <f>'[3]Proyecciones R&amp;B'!W391</f>
        <v>0</v>
      </c>
      <c r="F25" s="1">
        <f>'[3]Proyecciones R&amp;B'!X391</f>
        <v>0</v>
      </c>
      <c r="G25" s="1">
        <f>'[3]Proyecciones R&amp;B'!Y391</f>
        <v>0</v>
      </c>
      <c r="H25" s="1">
        <f>'[3]Proyecciones R&amp;B'!Z391</f>
        <v>0</v>
      </c>
      <c r="I25" s="1">
        <f>'[3]Proyecciones R&amp;B'!AA391</f>
        <v>0</v>
      </c>
      <c r="J25" s="1">
        <f>'[3]Proyecciones R&amp;B'!AB391</f>
        <v>0</v>
      </c>
      <c r="K25" s="1">
        <f>'[3]Proyecciones R&amp;B'!AC391</f>
        <v>0</v>
      </c>
      <c r="L25" s="1">
        <f>'[3]Proyecciones R&amp;B'!AD391</f>
        <v>0</v>
      </c>
      <c r="M25" s="1">
        <f>'[3]Proyecciones R&amp;B'!AE391</f>
        <v>0</v>
      </c>
      <c r="N25" s="1">
        <f>'[3]Proyecciones R&amp;B'!AF391</f>
        <v>0</v>
      </c>
      <c r="O25" s="1">
        <f>'[3]Proyecciones R&amp;B'!AG391</f>
        <v>0</v>
      </c>
    </row>
    <row r="26" spans="1:15" x14ac:dyDescent="0.35">
      <c r="A26" t="s">
        <v>20</v>
      </c>
      <c r="B26" t="s">
        <v>15</v>
      </c>
      <c r="C26" t="s">
        <v>22</v>
      </c>
      <c r="D26" s="1">
        <f>'[3]Proyecciones R&amp;B'!V392</f>
        <v>0</v>
      </c>
      <c r="E26" s="1">
        <f>'[3]Proyecciones R&amp;B'!W392</f>
        <v>0</v>
      </c>
      <c r="F26" s="1">
        <f>'[3]Proyecciones R&amp;B'!X392</f>
        <v>0</v>
      </c>
      <c r="G26" s="1">
        <f>'[3]Proyecciones R&amp;B'!Y392</f>
        <v>0</v>
      </c>
      <c r="H26" s="1">
        <f>'[3]Proyecciones R&amp;B'!Z392</f>
        <v>0</v>
      </c>
      <c r="I26" s="1">
        <f>'[3]Proyecciones R&amp;B'!AA392</f>
        <v>0</v>
      </c>
      <c r="J26" s="1">
        <f>'[3]Proyecciones R&amp;B'!AB392</f>
        <v>0</v>
      </c>
      <c r="K26" s="1">
        <f>'[3]Proyecciones R&amp;B'!AC392</f>
        <v>0</v>
      </c>
      <c r="L26" s="1">
        <f>'[3]Proyecciones R&amp;B'!AD392</f>
        <v>0</v>
      </c>
      <c r="M26" s="1">
        <f>'[3]Proyecciones R&amp;B'!AE392</f>
        <v>0</v>
      </c>
      <c r="N26" s="1">
        <f>'[3]Proyecciones R&amp;B'!AF392</f>
        <v>0</v>
      </c>
      <c r="O26" s="1">
        <f>'[3]Proyecciones R&amp;B'!AG392</f>
        <v>0</v>
      </c>
    </row>
    <row r="27" spans="1:15" x14ac:dyDescent="0.35">
      <c r="A27" t="s">
        <v>20</v>
      </c>
      <c r="B27" t="s">
        <v>15</v>
      </c>
      <c r="C27" t="s">
        <v>23</v>
      </c>
      <c r="D27" s="1">
        <f>'[3]Proyecciones R&amp;B'!V393</f>
        <v>0</v>
      </c>
      <c r="E27" s="1">
        <f>'[3]Proyecciones R&amp;B'!W393</f>
        <v>0</v>
      </c>
      <c r="F27" s="1">
        <f>'[3]Proyecciones R&amp;B'!X393</f>
        <v>0</v>
      </c>
      <c r="G27" s="1">
        <f>'[3]Proyecciones R&amp;B'!Y393</f>
        <v>0</v>
      </c>
      <c r="H27" s="1">
        <f>'[3]Proyecciones R&amp;B'!Z393</f>
        <v>0</v>
      </c>
      <c r="I27" s="1">
        <f>'[3]Proyecciones R&amp;B'!AA393</f>
        <v>0</v>
      </c>
      <c r="J27" s="1">
        <f>'[3]Proyecciones R&amp;B'!AB393</f>
        <v>0</v>
      </c>
      <c r="K27" s="1">
        <f>'[3]Proyecciones R&amp;B'!AC393</f>
        <v>0</v>
      </c>
      <c r="L27" s="1">
        <f>'[3]Proyecciones R&amp;B'!AD393</f>
        <v>0</v>
      </c>
      <c r="M27" s="1">
        <f>'[3]Proyecciones R&amp;B'!AE393</f>
        <v>0</v>
      </c>
      <c r="N27" s="1">
        <f>'[3]Proyecciones R&amp;B'!AF393</f>
        <v>0</v>
      </c>
      <c r="O27" s="1">
        <f>'[3]Proyecciones R&amp;B'!AG393</f>
        <v>0</v>
      </c>
    </row>
    <row r="28" spans="1:15" x14ac:dyDescent="0.35">
      <c r="A28" t="s">
        <v>20</v>
      </c>
      <c r="B28" t="s">
        <v>15</v>
      </c>
      <c r="C28" t="s">
        <v>24</v>
      </c>
      <c r="D28" s="1">
        <f>'[3]Proyecciones R&amp;B'!V394</f>
        <v>0</v>
      </c>
      <c r="E28" s="1">
        <f>'[3]Proyecciones R&amp;B'!W394</f>
        <v>0</v>
      </c>
      <c r="F28" s="1">
        <f>'[3]Proyecciones R&amp;B'!X394</f>
        <v>0</v>
      </c>
      <c r="G28" s="1">
        <f>'[3]Proyecciones R&amp;B'!Y394</f>
        <v>0</v>
      </c>
      <c r="H28" s="1">
        <f>'[3]Proyecciones R&amp;B'!Z394</f>
        <v>0</v>
      </c>
      <c r="I28" s="1">
        <f>'[3]Proyecciones R&amp;B'!AA394</f>
        <v>0</v>
      </c>
      <c r="J28" s="1">
        <f>'[3]Proyecciones R&amp;B'!AB394</f>
        <v>0</v>
      </c>
      <c r="K28" s="1">
        <f>'[3]Proyecciones R&amp;B'!AC394</f>
        <v>0</v>
      </c>
      <c r="L28" s="1">
        <f>'[3]Proyecciones R&amp;B'!AD394</f>
        <v>0</v>
      </c>
      <c r="M28" s="1">
        <f>'[3]Proyecciones R&amp;B'!AE394</f>
        <v>0</v>
      </c>
      <c r="N28" s="1">
        <f>'[3]Proyecciones R&amp;B'!AF394</f>
        <v>0</v>
      </c>
      <c r="O28" s="1">
        <f>'[3]Proyecciones R&amp;B'!AG394</f>
        <v>0</v>
      </c>
    </row>
    <row r="29" spans="1:15" x14ac:dyDescent="0.35">
      <c r="A29" t="s">
        <v>20</v>
      </c>
      <c r="B29" t="s">
        <v>15</v>
      </c>
      <c r="C29" t="s">
        <v>25</v>
      </c>
      <c r="D29" s="1">
        <f>'[3]Proyecciones R&amp;B'!V395</f>
        <v>0</v>
      </c>
      <c r="E29" s="1">
        <f>'[3]Proyecciones R&amp;B'!W395</f>
        <v>0</v>
      </c>
      <c r="F29" s="1">
        <f>'[3]Proyecciones R&amp;B'!X395</f>
        <v>0</v>
      </c>
      <c r="G29" s="1">
        <f>'[3]Proyecciones R&amp;B'!Y395</f>
        <v>0</v>
      </c>
      <c r="H29" s="1">
        <f>'[3]Proyecciones R&amp;B'!Z395</f>
        <v>0</v>
      </c>
      <c r="I29" s="1">
        <f>'[3]Proyecciones R&amp;B'!AA395</f>
        <v>0</v>
      </c>
      <c r="J29" s="1">
        <f>'[3]Proyecciones R&amp;B'!AB395</f>
        <v>0</v>
      </c>
      <c r="K29" s="1">
        <f>'[3]Proyecciones R&amp;B'!AC395</f>
        <v>0</v>
      </c>
      <c r="L29" s="1">
        <f>'[3]Proyecciones R&amp;B'!AD395</f>
        <v>0</v>
      </c>
      <c r="M29" s="1">
        <f>'[3]Proyecciones R&amp;B'!AE395</f>
        <v>0</v>
      </c>
      <c r="N29" s="1">
        <f>'[3]Proyecciones R&amp;B'!AF395</f>
        <v>0</v>
      </c>
      <c r="O29" s="1">
        <f>'[3]Proyecciones R&amp;B'!AG395</f>
        <v>0</v>
      </c>
    </row>
    <row r="30" spans="1:15" x14ac:dyDescent="0.35">
      <c r="A30" t="s">
        <v>6</v>
      </c>
      <c r="B30" t="s">
        <v>15</v>
      </c>
      <c r="C30" t="s">
        <v>26</v>
      </c>
      <c r="D30" s="1">
        <f>'[3]Proyecciones General'!V284</f>
        <v>78707573.853189886</v>
      </c>
      <c r="E30" s="1">
        <f>'[3]Proyecciones General'!W284</f>
        <v>87046781.214353994</v>
      </c>
      <c r="F30" s="1">
        <f>'[3]Proyecciones General'!X284</f>
        <v>83456232.221568823</v>
      </c>
      <c r="G30" s="1">
        <f>'[3]Proyecciones General'!Y284</f>
        <v>77457518.055984721</v>
      </c>
      <c r="H30" s="1">
        <f>'[3]Proyecciones General'!Z284</f>
        <v>82983422.638724789</v>
      </c>
      <c r="I30" s="1">
        <f>'[3]Proyecciones General'!AA284</f>
        <v>88866083.902971178</v>
      </c>
      <c r="J30" s="1">
        <f>'[3]Proyecciones General'!AB284</f>
        <v>107228428.92324634</v>
      </c>
      <c r="K30" s="1">
        <f>'[3]Proyecciones General'!AC284</f>
        <v>132537870.21556544</v>
      </c>
      <c r="L30" s="1">
        <f>'[3]Proyecciones General'!AD284</f>
        <v>93005304.955554426</v>
      </c>
      <c r="M30" s="1">
        <f>'[3]Proyecciones General'!AE284</f>
        <v>100715584.74129088</v>
      </c>
      <c r="N30" s="1">
        <f>'[3]Proyecciones General'!AF284</f>
        <v>88314215.87223427</v>
      </c>
      <c r="O30" s="1">
        <f>'[3]Proyecciones General'!AG284</f>
        <v>103870398.01339468</v>
      </c>
    </row>
    <row r="31" spans="1:15" x14ac:dyDescent="0.35">
      <c r="A31" t="s">
        <v>10</v>
      </c>
      <c r="B31" t="s">
        <v>15</v>
      </c>
      <c r="C31" t="s">
        <v>26</v>
      </c>
      <c r="D31" s="1">
        <f>'[3]Proyecciones General'!V285</f>
        <v>55320919.96201399</v>
      </c>
      <c r="E31" s="1">
        <f>'[3]Proyecciones General'!W285</f>
        <v>56955119.667302482</v>
      </c>
      <c r="F31" s="1">
        <f>'[3]Proyecciones General'!X285</f>
        <v>53684619.071234666</v>
      </c>
      <c r="G31" s="1">
        <f>'[3]Proyecciones General'!Y285</f>
        <v>53932347.440095834</v>
      </c>
      <c r="H31" s="1">
        <f>'[3]Proyecciones General'!Z285</f>
        <v>52207017.974105597</v>
      </c>
      <c r="I31" s="1">
        <f>'[3]Proyecciones General'!AA285</f>
        <v>46872965.266174525</v>
      </c>
      <c r="J31" s="1">
        <f>'[3]Proyecciones General'!AB285</f>
        <v>50822108.621495955</v>
      </c>
      <c r="K31" s="1">
        <f>'[3]Proyecciones General'!AC285</f>
        <v>51883519.198767781</v>
      </c>
      <c r="L31" s="1">
        <f>'[3]Proyecciones General'!AD285</f>
        <v>45204723.826723203</v>
      </c>
      <c r="M31" s="1">
        <f>'[3]Proyecciones General'!AE285</f>
        <v>51438040.843639798</v>
      </c>
      <c r="N31" s="1">
        <f>'[3]Proyecciones General'!AF285</f>
        <v>46964320.583292477</v>
      </c>
      <c r="O31" s="1">
        <f>'[3]Proyecciones General'!AG285</f>
        <v>55376633.96949634</v>
      </c>
    </row>
    <row r="32" spans="1:15" x14ac:dyDescent="0.35">
      <c r="A32" t="s">
        <v>5</v>
      </c>
      <c r="B32" t="s">
        <v>15</v>
      </c>
      <c r="C32" t="s">
        <v>26</v>
      </c>
      <c r="D32" s="1">
        <f>'[3]Proyecciones General'!V286</f>
        <v>48702636.712799534</v>
      </c>
      <c r="E32" s="1">
        <f>'[3]Proyecciones General'!W286</f>
        <v>62423939.146496087</v>
      </c>
      <c r="F32" s="1">
        <f>'[3]Proyecciones General'!X286</f>
        <v>53116921.993952312</v>
      </c>
      <c r="G32" s="1">
        <f>'[3]Proyecciones General'!Y286</f>
        <v>64162845.567228287</v>
      </c>
      <c r="H32" s="1">
        <f>'[3]Proyecciones General'!Z286</f>
        <v>67937997.489773005</v>
      </c>
      <c r="I32" s="1">
        <f>'[3]Proyecciones General'!AA286</f>
        <v>53757535.124503292</v>
      </c>
      <c r="J32" s="1">
        <f>'[3]Proyecciones General'!AB286</f>
        <v>57441074.996380411</v>
      </c>
      <c r="K32" s="1">
        <f>'[3]Proyecciones General'!AC286</f>
        <v>74666395.711754605</v>
      </c>
      <c r="L32" s="1">
        <f>'[3]Proyecciones General'!AD286</f>
        <v>62451982.459408849</v>
      </c>
      <c r="M32" s="1">
        <f>'[3]Proyecciones General'!AE286</f>
        <v>57376624.356230915</v>
      </c>
      <c r="N32" s="1">
        <f>'[3]Proyecciones General'!AF286</f>
        <v>49028163.656393379</v>
      </c>
      <c r="O32" s="1">
        <f>'[3]Proyecciones General'!AG286</f>
        <v>53014935.559814818</v>
      </c>
    </row>
    <row r="33" spans="1:15" x14ac:dyDescent="0.35">
      <c r="A33" t="s">
        <v>16</v>
      </c>
      <c r="B33" t="s">
        <v>15</v>
      </c>
      <c r="C33" t="s">
        <v>26</v>
      </c>
      <c r="D33" s="1">
        <f>'[3]Proyecciones General'!V287</f>
        <v>7961100.5953347329</v>
      </c>
      <c r="E33" s="1">
        <f>'[3]Proyecciones General'!W287</f>
        <v>11060748.80621664</v>
      </c>
      <c r="F33" s="1">
        <f>'[3]Proyecciones General'!X287</f>
        <v>11637424.199462971</v>
      </c>
      <c r="G33" s="1">
        <f>'[3]Proyecciones General'!Y287</f>
        <v>11440214.250280783</v>
      </c>
      <c r="H33" s="1">
        <f>'[3]Proyecciones General'!Z287</f>
        <v>11454278.374369795</v>
      </c>
      <c r="I33" s="1">
        <f>'[3]Proyecciones General'!AA287</f>
        <v>11914036.039243512</v>
      </c>
      <c r="J33" s="1">
        <f>'[3]Proyecciones General'!AB287</f>
        <v>13221475.351654263</v>
      </c>
      <c r="K33" s="1">
        <f>'[3]Proyecciones General'!AC287</f>
        <v>15489795.489366546</v>
      </c>
      <c r="L33" s="1">
        <f>'[3]Proyecciones General'!AD287</f>
        <v>11174295.930422407</v>
      </c>
      <c r="M33" s="1">
        <f>'[3]Proyecciones General'!AE287</f>
        <v>11782931.241205085</v>
      </c>
      <c r="N33" s="1">
        <f>'[3]Proyecciones General'!AF287</f>
        <v>11371107.600311819</v>
      </c>
      <c r="O33" s="1">
        <f>'[3]Proyecciones General'!AG287</f>
        <v>13909301.8392823</v>
      </c>
    </row>
    <row r="34" spans="1:15" x14ac:dyDescent="0.35">
      <c r="A34" t="s">
        <v>18</v>
      </c>
      <c r="B34" t="s">
        <v>15</v>
      </c>
      <c r="C34" t="s">
        <v>26</v>
      </c>
      <c r="D34" s="1">
        <f>'[3]Proyecciones General'!V288</f>
        <v>3916458.6486190679</v>
      </c>
      <c r="E34" s="1">
        <f>'[3]Proyecciones General'!W288</f>
        <v>3553668.9094842658</v>
      </c>
      <c r="F34" s="1">
        <f>'[3]Proyecciones General'!X288</f>
        <v>3847524.8384285579</v>
      </c>
      <c r="G34" s="1">
        <f>'[3]Proyecciones General'!Y288</f>
        <v>4485654.3207092611</v>
      </c>
      <c r="H34" s="1">
        <f>'[3]Proyecciones General'!Z288</f>
        <v>4088756.3249523975</v>
      </c>
      <c r="I34" s="1">
        <f>'[3]Proyecciones General'!AA288</f>
        <v>4067841.795954295</v>
      </c>
      <c r="J34" s="1">
        <f>'[3]Proyecciones General'!AB288</f>
        <v>4437757.2949985843</v>
      </c>
      <c r="K34" s="1">
        <f>'[3]Proyecciones General'!AC288</f>
        <v>5885103.5822869036</v>
      </c>
      <c r="L34" s="1">
        <f>'[3]Proyecciones General'!AD288</f>
        <v>4278589.4974579355</v>
      </c>
      <c r="M34" s="1">
        <f>'[3]Proyecciones General'!AE288</f>
        <v>4126231.7929430949</v>
      </c>
      <c r="N34" s="1">
        <f>'[3]Proyecciones General'!AF288</f>
        <v>3364384.3644812722</v>
      </c>
      <c r="O34" s="1">
        <f>'[3]Proyecciones General'!AG288</f>
        <v>3855752.3196048532</v>
      </c>
    </row>
    <row r="35" spans="1:15" x14ac:dyDescent="0.35">
      <c r="A35" t="s">
        <v>17</v>
      </c>
      <c r="B35" t="s">
        <v>15</v>
      </c>
      <c r="C35" t="s">
        <v>26</v>
      </c>
      <c r="D35" s="1">
        <f>'[3]Proyecciones General'!V289</f>
        <v>445074.0624429633</v>
      </c>
      <c r="E35" s="1">
        <f>'[3]Proyecciones General'!W289</f>
        <v>468555.69316610403</v>
      </c>
      <c r="F35" s="1">
        <f>'[3]Proyecciones General'!X289</f>
        <v>448774.92030519631</v>
      </c>
      <c r="G35" s="1">
        <f>'[3]Proyecciones General'!Y289</f>
        <v>419374.91973588732</v>
      </c>
      <c r="H35" s="1">
        <f>'[3]Proyecciones General'!Z289</f>
        <v>464356.47692063963</v>
      </c>
      <c r="I35" s="1">
        <f>'[3]Proyecciones General'!AA289</f>
        <v>421660.4012634785</v>
      </c>
      <c r="J35" s="1">
        <f>'[3]Proyecciones General'!AB289</f>
        <v>417599.40808440046</v>
      </c>
      <c r="K35" s="1">
        <f>'[3]Proyecciones General'!AC289</f>
        <v>413710.32840819343</v>
      </c>
      <c r="L35" s="1">
        <f>'[3]Proyecciones General'!AD289</f>
        <v>325393.202720406</v>
      </c>
      <c r="M35" s="1">
        <f>'[3]Proyecciones General'!AE289</f>
        <v>352184.47924999212</v>
      </c>
      <c r="N35" s="1">
        <f>'[3]Proyecciones General'!AF289</f>
        <v>364214.67867738666</v>
      </c>
      <c r="O35" s="1">
        <f>'[3]Proyecciones General'!AG289</f>
        <v>469583.11207871727</v>
      </c>
    </row>
    <row r="36" spans="1:15" x14ac:dyDescent="0.35">
      <c r="A36" t="s">
        <v>20</v>
      </c>
      <c r="B36" t="s">
        <v>15</v>
      </c>
      <c r="C36" t="s">
        <v>26</v>
      </c>
      <c r="D36" s="1">
        <f>'[3]Proyecciones General'!V290</f>
        <v>0</v>
      </c>
      <c r="E36" s="1">
        <f>'[3]Proyecciones General'!W290</f>
        <v>0</v>
      </c>
      <c r="F36" s="1">
        <f>'[3]Proyecciones General'!X290</f>
        <v>0</v>
      </c>
      <c r="G36" s="1">
        <f>'[3]Proyecciones General'!Y290</f>
        <v>0</v>
      </c>
      <c r="H36" s="1">
        <f>'[3]Proyecciones General'!Z290</f>
        <v>0</v>
      </c>
      <c r="I36" s="1">
        <f>'[3]Proyecciones General'!AA290</f>
        <v>0</v>
      </c>
      <c r="J36" s="1">
        <f>'[3]Proyecciones General'!AB290</f>
        <v>0</v>
      </c>
      <c r="K36" s="1">
        <f>'[3]Proyecciones General'!AC290</f>
        <v>0</v>
      </c>
      <c r="L36" s="1">
        <f>'[3]Proyecciones General'!AD290</f>
        <v>0</v>
      </c>
      <c r="M36" s="1">
        <f>'[3]Proyecciones General'!AE290</f>
        <v>0</v>
      </c>
      <c r="N36" s="1">
        <f>'[3]Proyecciones General'!AF290</f>
        <v>0</v>
      </c>
      <c r="O36" s="1">
        <f>'[3]Proyecciones General'!AG290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105F-F18A-4DFC-88C5-B4C85243815A}">
  <dimension ref="A1:N22"/>
  <sheetViews>
    <sheetView workbookViewId="0">
      <selection activeCell="E16" sqref="E16"/>
    </sheetView>
  </sheetViews>
  <sheetFormatPr baseColWidth="10" defaultRowHeight="14.5" x14ac:dyDescent="0.35"/>
  <cols>
    <col min="2" max="2" width="16.81640625" bestFit="1" customWidth="1"/>
  </cols>
  <sheetData>
    <row r="1" spans="1:14" x14ac:dyDescent="0.35">
      <c r="A1" s="2" t="s">
        <v>4</v>
      </c>
      <c r="B1" s="2" t="s">
        <v>14</v>
      </c>
      <c r="C1" s="3">
        <v>46113</v>
      </c>
      <c r="D1" s="3">
        <v>46143</v>
      </c>
      <c r="E1" s="3">
        <v>46174</v>
      </c>
      <c r="F1" s="3">
        <v>46204</v>
      </c>
      <c r="G1" s="3">
        <v>46235</v>
      </c>
      <c r="H1" s="3">
        <v>46266</v>
      </c>
      <c r="I1" s="3">
        <v>46296</v>
      </c>
      <c r="J1" s="3">
        <v>46327</v>
      </c>
      <c r="K1" s="3">
        <v>46357</v>
      </c>
      <c r="L1" s="3">
        <v>46388</v>
      </c>
      <c r="M1" s="3">
        <v>46419</v>
      </c>
      <c r="N1" s="3">
        <v>46447</v>
      </c>
    </row>
    <row r="2" spans="1:14" x14ac:dyDescent="0.35">
      <c r="A2" t="s">
        <v>5</v>
      </c>
      <c r="B2" t="s">
        <v>27</v>
      </c>
      <c r="C2">
        <f>'[4]Inputs EPM'!$F$3</f>
        <v>8.7100972764774433E-3</v>
      </c>
      <c r="D2">
        <f>C2</f>
        <v>8.7100972764774433E-3</v>
      </c>
      <c r="E2">
        <f t="shared" ref="E2:N2" si="0">D2</f>
        <v>8.7100972764774433E-3</v>
      </c>
      <c r="F2">
        <f t="shared" si="0"/>
        <v>8.7100972764774433E-3</v>
      </c>
      <c r="G2">
        <f t="shared" si="0"/>
        <v>8.7100972764774433E-3</v>
      </c>
      <c r="H2">
        <f t="shared" si="0"/>
        <v>8.7100972764774433E-3</v>
      </c>
      <c r="I2">
        <f t="shared" si="0"/>
        <v>8.7100972764774433E-3</v>
      </c>
      <c r="J2">
        <f t="shared" si="0"/>
        <v>8.7100972764774433E-3</v>
      </c>
      <c r="K2">
        <f t="shared" si="0"/>
        <v>8.7100972764774433E-3</v>
      </c>
      <c r="L2">
        <f t="shared" si="0"/>
        <v>8.7100972764774433E-3</v>
      </c>
      <c r="M2">
        <f t="shared" si="0"/>
        <v>8.7100972764774433E-3</v>
      </c>
      <c r="N2">
        <f t="shared" si="0"/>
        <v>8.7100972764774433E-3</v>
      </c>
    </row>
    <row r="3" spans="1:14" x14ac:dyDescent="0.35">
      <c r="A3" t="s">
        <v>10</v>
      </c>
      <c r="B3" t="s">
        <v>27</v>
      </c>
      <c r="C3">
        <f>'[4]Inputs EPM'!$F$10</f>
        <v>7.6754666565544234E-3</v>
      </c>
      <c r="D3">
        <f t="shared" ref="D3:N3" si="1">C3</f>
        <v>7.6754666565544234E-3</v>
      </c>
      <c r="E3">
        <f t="shared" si="1"/>
        <v>7.6754666565544234E-3</v>
      </c>
      <c r="F3">
        <f t="shared" si="1"/>
        <v>7.6754666565544234E-3</v>
      </c>
      <c r="G3">
        <f t="shared" si="1"/>
        <v>7.6754666565544234E-3</v>
      </c>
      <c r="H3">
        <f t="shared" si="1"/>
        <v>7.6754666565544234E-3</v>
      </c>
      <c r="I3">
        <f t="shared" si="1"/>
        <v>7.6754666565544234E-3</v>
      </c>
      <c r="J3">
        <f t="shared" si="1"/>
        <v>7.6754666565544234E-3</v>
      </c>
      <c r="K3">
        <f t="shared" si="1"/>
        <v>7.6754666565544234E-3</v>
      </c>
      <c r="L3">
        <f t="shared" si="1"/>
        <v>7.6754666565544234E-3</v>
      </c>
      <c r="M3">
        <f t="shared" si="1"/>
        <v>7.6754666565544234E-3</v>
      </c>
      <c r="N3">
        <f t="shared" si="1"/>
        <v>7.6754666565544234E-3</v>
      </c>
    </row>
    <row r="4" spans="1:14" x14ac:dyDescent="0.35">
      <c r="A4" t="s">
        <v>6</v>
      </c>
      <c r="B4" t="s">
        <v>27</v>
      </c>
      <c r="C4">
        <f>'[4]Inputs EPM'!$F$17</f>
        <v>4.8963579335804452E-3</v>
      </c>
      <c r="D4">
        <f t="shared" ref="D4:N4" si="2">C4</f>
        <v>4.8963579335804452E-3</v>
      </c>
      <c r="E4">
        <f t="shared" si="2"/>
        <v>4.8963579335804452E-3</v>
      </c>
      <c r="F4">
        <f t="shared" si="2"/>
        <v>4.8963579335804452E-3</v>
      </c>
      <c r="G4">
        <f t="shared" si="2"/>
        <v>4.8963579335804452E-3</v>
      </c>
      <c r="H4">
        <f t="shared" si="2"/>
        <v>4.8963579335804452E-3</v>
      </c>
      <c r="I4">
        <f t="shared" si="2"/>
        <v>4.8963579335804452E-3</v>
      </c>
      <c r="J4">
        <f t="shared" si="2"/>
        <v>4.8963579335804452E-3</v>
      </c>
      <c r="K4">
        <f t="shared" si="2"/>
        <v>4.8963579335804452E-3</v>
      </c>
      <c r="L4">
        <f t="shared" si="2"/>
        <v>4.8963579335804452E-3</v>
      </c>
      <c r="M4">
        <f t="shared" si="2"/>
        <v>4.8963579335804452E-3</v>
      </c>
      <c r="N4">
        <f t="shared" si="2"/>
        <v>4.8963579335804452E-3</v>
      </c>
    </row>
    <row r="5" spans="1:14" x14ac:dyDescent="0.35">
      <c r="A5" t="s">
        <v>17</v>
      </c>
      <c r="B5" t="s">
        <v>27</v>
      </c>
      <c r="C5">
        <f>'[4]Inputs EPM'!$F$24</f>
        <v>8.6999999999999994E-3</v>
      </c>
      <c r="D5">
        <f t="shared" ref="D5:N5" si="3">C5</f>
        <v>8.6999999999999994E-3</v>
      </c>
      <c r="E5">
        <f t="shared" si="3"/>
        <v>8.6999999999999994E-3</v>
      </c>
      <c r="F5">
        <f t="shared" si="3"/>
        <v>8.6999999999999994E-3</v>
      </c>
      <c r="G5">
        <f t="shared" si="3"/>
        <v>8.6999999999999994E-3</v>
      </c>
      <c r="H5">
        <f t="shared" si="3"/>
        <v>8.6999999999999994E-3</v>
      </c>
      <c r="I5">
        <f t="shared" si="3"/>
        <v>8.6999999999999994E-3</v>
      </c>
      <c r="J5">
        <f t="shared" si="3"/>
        <v>8.6999999999999994E-3</v>
      </c>
      <c r="K5">
        <f t="shared" si="3"/>
        <v>8.6999999999999994E-3</v>
      </c>
      <c r="L5">
        <f t="shared" si="3"/>
        <v>8.6999999999999994E-3</v>
      </c>
      <c r="M5">
        <f t="shared" si="3"/>
        <v>8.6999999999999994E-3</v>
      </c>
      <c r="N5">
        <f t="shared" si="3"/>
        <v>8.6999999999999994E-3</v>
      </c>
    </row>
    <row r="6" spans="1:14" x14ac:dyDescent="0.35">
      <c r="A6" t="s">
        <v>18</v>
      </c>
      <c r="B6" t="s">
        <v>27</v>
      </c>
      <c r="C6">
        <f>'[4]Inputs EPM'!$F$31</f>
        <v>8.6997462040125633E-3</v>
      </c>
      <c r="D6">
        <f t="shared" ref="D6:N6" si="4">C6</f>
        <v>8.6997462040125633E-3</v>
      </c>
      <c r="E6">
        <f t="shared" si="4"/>
        <v>8.6997462040125633E-3</v>
      </c>
      <c r="F6">
        <f t="shared" si="4"/>
        <v>8.6997462040125633E-3</v>
      </c>
      <c r="G6">
        <f t="shared" si="4"/>
        <v>8.6997462040125633E-3</v>
      </c>
      <c r="H6">
        <f t="shared" si="4"/>
        <v>8.6997462040125633E-3</v>
      </c>
      <c r="I6">
        <f t="shared" si="4"/>
        <v>8.6997462040125633E-3</v>
      </c>
      <c r="J6">
        <f t="shared" si="4"/>
        <v>8.6997462040125633E-3</v>
      </c>
      <c r="K6">
        <f t="shared" si="4"/>
        <v>8.6997462040125633E-3</v>
      </c>
      <c r="L6">
        <f t="shared" si="4"/>
        <v>8.6997462040125633E-3</v>
      </c>
      <c r="M6">
        <f t="shared" si="4"/>
        <v>8.6997462040125633E-3</v>
      </c>
      <c r="N6">
        <f t="shared" si="4"/>
        <v>8.6997462040125633E-3</v>
      </c>
    </row>
    <row r="7" spans="1:14" x14ac:dyDescent="0.35">
      <c r="A7" t="s">
        <v>16</v>
      </c>
      <c r="B7" t="s">
        <v>27</v>
      </c>
      <c r="C7">
        <f>'[4]Inputs EPM'!$F$38</f>
        <v>8.7007665502414951E-3</v>
      </c>
      <c r="D7">
        <f t="shared" ref="D7:N7" si="5">C7</f>
        <v>8.7007665502414951E-3</v>
      </c>
      <c r="E7">
        <f t="shared" si="5"/>
        <v>8.7007665502414951E-3</v>
      </c>
      <c r="F7">
        <f t="shared" si="5"/>
        <v>8.7007665502414951E-3</v>
      </c>
      <c r="G7">
        <f t="shared" si="5"/>
        <v>8.7007665502414951E-3</v>
      </c>
      <c r="H7">
        <f t="shared" si="5"/>
        <v>8.7007665502414951E-3</v>
      </c>
      <c r="I7">
        <f t="shared" si="5"/>
        <v>8.7007665502414951E-3</v>
      </c>
      <c r="J7">
        <f t="shared" si="5"/>
        <v>8.7007665502414951E-3</v>
      </c>
      <c r="K7">
        <f t="shared" si="5"/>
        <v>8.7007665502414951E-3</v>
      </c>
      <c r="L7">
        <f t="shared" si="5"/>
        <v>8.7007665502414951E-3</v>
      </c>
      <c r="M7">
        <f t="shared" si="5"/>
        <v>8.7007665502414951E-3</v>
      </c>
      <c r="N7">
        <f t="shared" si="5"/>
        <v>8.7007665502414951E-3</v>
      </c>
    </row>
    <row r="8" spans="1:14" x14ac:dyDescent="0.35">
      <c r="A8" t="s">
        <v>19</v>
      </c>
      <c r="B8" t="s">
        <v>27</v>
      </c>
      <c r="C8">
        <f>'[4]Inputs EPM'!$F$45</f>
        <v>8.6999999999999994E-3</v>
      </c>
      <c r="D8">
        <f t="shared" ref="D8:N8" si="6">C8</f>
        <v>8.6999999999999994E-3</v>
      </c>
      <c r="E8">
        <f t="shared" si="6"/>
        <v>8.6999999999999994E-3</v>
      </c>
      <c r="F8">
        <f t="shared" si="6"/>
        <v>8.6999999999999994E-3</v>
      </c>
      <c r="G8">
        <f t="shared" si="6"/>
        <v>8.6999999999999994E-3</v>
      </c>
      <c r="H8">
        <f t="shared" si="6"/>
        <v>8.6999999999999994E-3</v>
      </c>
      <c r="I8">
        <f t="shared" si="6"/>
        <v>8.6999999999999994E-3</v>
      </c>
      <c r="J8">
        <f t="shared" si="6"/>
        <v>8.6999999999999994E-3</v>
      </c>
      <c r="K8">
        <f t="shared" si="6"/>
        <v>8.6999999999999994E-3</v>
      </c>
      <c r="L8">
        <f t="shared" si="6"/>
        <v>8.6999999999999994E-3</v>
      </c>
      <c r="M8">
        <f t="shared" si="6"/>
        <v>8.6999999999999994E-3</v>
      </c>
      <c r="N8">
        <f t="shared" si="6"/>
        <v>8.6999999999999994E-3</v>
      </c>
    </row>
    <row r="9" spans="1:14" x14ac:dyDescent="0.35">
      <c r="A9" t="s">
        <v>5</v>
      </c>
      <c r="B9" t="s">
        <v>28</v>
      </c>
      <c r="C9">
        <f>'[4]Inputs EPM'!$X$3</f>
        <v>5.9269665685932962E-3</v>
      </c>
      <c r="D9">
        <f>C9</f>
        <v>5.9269665685932962E-3</v>
      </c>
      <c r="E9">
        <f t="shared" ref="E9:N9" si="7">D9</f>
        <v>5.9269665685932962E-3</v>
      </c>
      <c r="F9">
        <f t="shared" si="7"/>
        <v>5.9269665685932962E-3</v>
      </c>
      <c r="G9">
        <f t="shared" si="7"/>
        <v>5.9269665685932962E-3</v>
      </c>
      <c r="H9">
        <f t="shared" si="7"/>
        <v>5.9269665685932962E-3</v>
      </c>
      <c r="I9">
        <f t="shared" si="7"/>
        <v>5.9269665685932962E-3</v>
      </c>
      <c r="J9">
        <f t="shared" si="7"/>
        <v>5.9269665685932962E-3</v>
      </c>
      <c r="K9">
        <f t="shared" si="7"/>
        <v>5.9269665685932962E-3</v>
      </c>
      <c r="L9">
        <f t="shared" si="7"/>
        <v>5.9269665685932962E-3</v>
      </c>
      <c r="M9">
        <f t="shared" si="7"/>
        <v>5.9269665685932962E-3</v>
      </c>
      <c r="N9">
        <f t="shared" si="7"/>
        <v>5.9269665685932962E-3</v>
      </c>
    </row>
    <row r="10" spans="1:14" x14ac:dyDescent="0.35">
      <c r="A10" t="s">
        <v>10</v>
      </c>
      <c r="B10" t="s">
        <v>28</v>
      </c>
      <c r="C10">
        <f>'[4]Inputs EPM'!$X$10</f>
        <v>5.051109495123776E-3</v>
      </c>
      <c r="D10">
        <f t="shared" ref="D10:N10" si="8">C10</f>
        <v>5.051109495123776E-3</v>
      </c>
      <c r="E10">
        <f t="shared" si="8"/>
        <v>5.051109495123776E-3</v>
      </c>
      <c r="F10">
        <f t="shared" si="8"/>
        <v>5.051109495123776E-3</v>
      </c>
      <c r="G10">
        <f t="shared" si="8"/>
        <v>5.051109495123776E-3</v>
      </c>
      <c r="H10">
        <f t="shared" si="8"/>
        <v>5.051109495123776E-3</v>
      </c>
      <c r="I10">
        <f t="shared" si="8"/>
        <v>5.051109495123776E-3</v>
      </c>
      <c r="J10">
        <f t="shared" si="8"/>
        <v>5.051109495123776E-3</v>
      </c>
      <c r="K10">
        <f t="shared" si="8"/>
        <v>5.051109495123776E-3</v>
      </c>
      <c r="L10">
        <f t="shared" si="8"/>
        <v>5.051109495123776E-3</v>
      </c>
      <c r="M10">
        <f t="shared" si="8"/>
        <v>5.051109495123776E-3</v>
      </c>
      <c r="N10">
        <f t="shared" si="8"/>
        <v>5.051109495123776E-3</v>
      </c>
    </row>
    <row r="11" spans="1:14" x14ac:dyDescent="0.35">
      <c r="A11" t="s">
        <v>6</v>
      </c>
      <c r="B11" t="s">
        <v>28</v>
      </c>
      <c r="C11">
        <f>'[4]Inputs EPM'!$X$17</f>
        <v>3.0537482446090672E-3</v>
      </c>
      <c r="D11">
        <f t="shared" ref="D11:N11" si="9">C11</f>
        <v>3.0537482446090672E-3</v>
      </c>
      <c r="E11">
        <f t="shared" si="9"/>
        <v>3.0537482446090672E-3</v>
      </c>
      <c r="F11">
        <f t="shared" si="9"/>
        <v>3.0537482446090672E-3</v>
      </c>
      <c r="G11">
        <f t="shared" si="9"/>
        <v>3.0537482446090672E-3</v>
      </c>
      <c r="H11">
        <f t="shared" si="9"/>
        <v>3.0537482446090672E-3</v>
      </c>
      <c r="I11">
        <f t="shared" si="9"/>
        <v>3.0537482446090672E-3</v>
      </c>
      <c r="J11">
        <f t="shared" si="9"/>
        <v>3.0537482446090672E-3</v>
      </c>
      <c r="K11">
        <f t="shared" si="9"/>
        <v>3.0537482446090672E-3</v>
      </c>
      <c r="L11">
        <f t="shared" si="9"/>
        <v>3.0537482446090672E-3</v>
      </c>
      <c r="M11">
        <f t="shared" si="9"/>
        <v>3.0537482446090672E-3</v>
      </c>
      <c r="N11">
        <f t="shared" si="9"/>
        <v>3.0537482446090672E-3</v>
      </c>
    </row>
    <row r="12" spans="1:14" x14ac:dyDescent="0.35">
      <c r="A12" t="s">
        <v>17</v>
      </c>
      <c r="B12" t="s">
        <v>28</v>
      </c>
      <c r="C12">
        <f>'[4]Inputs EPM'!$X$24</f>
        <v>5.0622254446181748E-3</v>
      </c>
      <c r="D12">
        <f t="shared" ref="D12:N12" si="10">C12</f>
        <v>5.0622254446181748E-3</v>
      </c>
      <c r="E12">
        <f t="shared" si="10"/>
        <v>5.0622254446181748E-3</v>
      </c>
      <c r="F12">
        <f t="shared" si="10"/>
        <v>5.0622254446181748E-3</v>
      </c>
      <c r="G12">
        <f t="shared" si="10"/>
        <v>5.0622254446181748E-3</v>
      </c>
      <c r="H12">
        <f t="shared" si="10"/>
        <v>5.0622254446181748E-3</v>
      </c>
      <c r="I12">
        <f t="shared" si="10"/>
        <v>5.0622254446181748E-3</v>
      </c>
      <c r="J12">
        <f t="shared" si="10"/>
        <v>5.0622254446181748E-3</v>
      </c>
      <c r="K12">
        <f t="shared" si="10"/>
        <v>5.0622254446181748E-3</v>
      </c>
      <c r="L12">
        <f t="shared" si="10"/>
        <v>5.0622254446181748E-3</v>
      </c>
      <c r="M12">
        <f t="shared" si="10"/>
        <v>5.0622254446181748E-3</v>
      </c>
      <c r="N12">
        <f t="shared" si="10"/>
        <v>5.0622254446181748E-3</v>
      </c>
    </row>
    <row r="13" spans="1:14" x14ac:dyDescent="0.35">
      <c r="A13" t="s">
        <v>18</v>
      </c>
      <c r="B13" t="s">
        <v>28</v>
      </c>
      <c r="C13">
        <f>'[4]Inputs EPM'!$X$31</f>
        <v>8.699731053708042E-3</v>
      </c>
      <c r="D13">
        <f t="shared" ref="D13:N13" si="11">C13</f>
        <v>8.699731053708042E-3</v>
      </c>
      <c r="E13">
        <f t="shared" si="11"/>
        <v>8.699731053708042E-3</v>
      </c>
      <c r="F13">
        <f t="shared" si="11"/>
        <v>8.699731053708042E-3</v>
      </c>
      <c r="G13">
        <f t="shared" si="11"/>
        <v>8.699731053708042E-3</v>
      </c>
      <c r="H13">
        <f t="shared" si="11"/>
        <v>8.699731053708042E-3</v>
      </c>
      <c r="I13">
        <f t="shared" si="11"/>
        <v>8.699731053708042E-3</v>
      </c>
      <c r="J13">
        <f t="shared" si="11"/>
        <v>8.699731053708042E-3</v>
      </c>
      <c r="K13">
        <f t="shared" si="11"/>
        <v>8.699731053708042E-3</v>
      </c>
      <c r="L13">
        <f t="shared" si="11"/>
        <v>8.699731053708042E-3</v>
      </c>
      <c r="M13">
        <f t="shared" si="11"/>
        <v>8.699731053708042E-3</v>
      </c>
      <c r="N13">
        <f t="shared" si="11"/>
        <v>8.699731053708042E-3</v>
      </c>
    </row>
    <row r="14" spans="1:14" x14ac:dyDescent="0.35">
      <c r="A14" t="s">
        <v>16</v>
      </c>
      <c r="B14" t="s">
        <v>28</v>
      </c>
      <c r="C14">
        <f>'[4]Inputs EPM'!$X$38</f>
        <v>6.6165441672143173E-3</v>
      </c>
      <c r="D14">
        <f t="shared" ref="D14:N14" si="12">C14</f>
        <v>6.6165441672143173E-3</v>
      </c>
      <c r="E14">
        <f t="shared" si="12"/>
        <v>6.6165441672143173E-3</v>
      </c>
      <c r="F14">
        <f t="shared" si="12"/>
        <v>6.6165441672143173E-3</v>
      </c>
      <c r="G14">
        <f t="shared" si="12"/>
        <v>6.6165441672143173E-3</v>
      </c>
      <c r="H14">
        <f t="shared" si="12"/>
        <v>6.6165441672143173E-3</v>
      </c>
      <c r="I14">
        <f t="shared" si="12"/>
        <v>6.6165441672143173E-3</v>
      </c>
      <c r="J14">
        <f t="shared" si="12"/>
        <v>6.6165441672143173E-3</v>
      </c>
      <c r="K14">
        <f t="shared" si="12"/>
        <v>6.6165441672143173E-3</v>
      </c>
      <c r="L14">
        <f t="shared" si="12"/>
        <v>6.6165441672143173E-3</v>
      </c>
      <c r="M14">
        <f t="shared" si="12"/>
        <v>6.6165441672143173E-3</v>
      </c>
      <c r="N14">
        <f t="shared" si="12"/>
        <v>6.6165441672143173E-3</v>
      </c>
    </row>
    <row r="15" spans="1:14" x14ac:dyDescent="0.35">
      <c r="A15" t="s">
        <v>19</v>
      </c>
      <c r="B15" t="s">
        <v>28</v>
      </c>
      <c r="C15">
        <f>'[4]Inputs EPM'!$X$45</f>
        <v>8.6999999999999994E-3</v>
      </c>
      <c r="D15">
        <f t="shared" ref="D15:N15" si="13">C15</f>
        <v>8.6999999999999994E-3</v>
      </c>
      <c r="E15">
        <f t="shared" si="13"/>
        <v>8.6999999999999994E-3</v>
      </c>
      <c r="F15">
        <f t="shared" si="13"/>
        <v>8.6999999999999994E-3</v>
      </c>
      <c r="G15">
        <f t="shared" si="13"/>
        <v>8.6999999999999994E-3</v>
      </c>
      <c r="H15">
        <f t="shared" si="13"/>
        <v>8.6999999999999994E-3</v>
      </c>
      <c r="I15">
        <f t="shared" si="13"/>
        <v>8.6999999999999994E-3</v>
      </c>
      <c r="J15">
        <f t="shared" si="13"/>
        <v>8.6999999999999994E-3</v>
      </c>
      <c r="K15">
        <f t="shared" si="13"/>
        <v>8.6999999999999994E-3</v>
      </c>
      <c r="L15">
        <f t="shared" si="13"/>
        <v>8.6999999999999994E-3</v>
      </c>
      <c r="M15">
        <f t="shared" si="13"/>
        <v>8.6999999999999994E-3</v>
      </c>
      <c r="N15">
        <f t="shared" si="13"/>
        <v>8.6999999999999994E-3</v>
      </c>
    </row>
    <row r="16" spans="1:14" x14ac:dyDescent="0.35">
      <c r="A16" t="s">
        <v>5</v>
      </c>
      <c r="B16" t="s">
        <v>29</v>
      </c>
      <c r="C16">
        <f>'[4]Inputs EPM'!$AP$3</f>
        <v>4.6431210038415383E-3</v>
      </c>
      <c r="D16">
        <f>C16</f>
        <v>4.6431210038415383E-3</v>
      </c>
      <c r="E16">
        <f t="shared" ref="E16:N16" si="14">D16</f>
        <v>4.6431210038415383E-3</v>
      </c>
      <c r="F16">
        <f t="shared" si="14"/>
        <v>4.6431210038415383E-3</v>
      </c>
      <c r="G16">
        <f t="shared" si="14"/>
        <v>4.6431210038415383E-3</v>
      </c>
      <c r="H16">
        <f t="shared" si="14"/>
        <v>4.6431210038415383E-3</v>
      </c>
      <c r="I16">
        <f t="shared" si="14"/>
        <v>4.6431210038415383E-3</v>
      </c>
      <c r="J16">
        <f t="shared" si="14"/>
        <v>4.6431210038415383E-3</v>
      </c>
      <c r="K16">
        <f t="shared" si="14"/>
        <v>4.6431210038415383E-3</v>
      </c>
      <c r="L16">
        <f t="shared" si="14"/>
        <v>4.6431210038415383E-3</v>
      </c>
      <c r="M16">
        <f t="shared" si="14"/>
        <v>4.6431210038415383E-3</v>
      </c>
      <c r="N16">
        <f t="shared" si="14"/>
        <v>4.6431210038415383E-3</v>
      </c>
    </row>
    <row r="17" spans="1:14" x14ac:dyDescent="0.35">
      <c r="A17" t="s">
        <v>10</v>
      </c>
      <c r="B17" t="s">
        <v>29</v>
      </c>
      <c r="C17">
        <f>'[4]Inputs EPM'!$AP$10</f>
        <v>5.1310910649757843E-3</v>
      </c>
      <c r="D17">
        <f t="shared" ref="D17:N17" si="15">C17</f>
        <v>5.1310910649757843E-3</v>
      </c>
      <c r="E17">
        <f t="shared" si="15"/>
        <v>5.1310910649757843E-3</v>
      </c>
      <c r="F17">
        <f t="shared" si="15"/>
        <v>5.1310910649757843E-3</v>
      </c>
      <c r="G17">
        <f t="shared" si="15"/>
        <v>5.1310910649757843E-3</v>
      </c>
      <c r="H17">
        <f t="shared" si="15"/>
        <v>5.1310910649757843E-3</v>
      </c>
      <c r="I17">
        <f t="shared" si="15"/>
        <v>5.1310910649757843E-3</v>
      </c>
      <c r="J17">
        <f t="shared" si="15"/>
        <v>5.1310910649757843E-3</v>
      </c>
      <c r="K17">
        <f t="shared" si="15"/>
        <v>5.1310910649757843E-3</v>
      </c>
      <c r="L17">
        <f t="shared" si="15"/>
        <v>5.1310910649757843E-3</v>
      </c>
      <c r="M17">
        <f t="shared" si="15"/>
        <v>5.1310910649757843E-3</v>
      </c>
      <c r="N17">
        <f t="shared" si="15"/>
        <v>5.1310910649757843E-3</v>
      </c>
    </row>
    <row r="18" spans="1:14" x14ac:dyDescent="0.35">
      <c r="A18" t="s">
        <v>6</v>
      </c>
      <c r="B18" t="s">
        <v>29</v>
      </c>
      <c r="C18">
        <f>'[4]Inputs EPM'!$AP$17</f>
        <v>2.9758908351873829E-3</v>
      </c>
      <c r="D18">
        <f t="shared" ref="D18:N18" si="16">C18</f>
        <v>2.9758908351873829E-3</v>
      </c>
      <c r="E18">
        <f t="shared" si="16"/>
        <v>2.9758908351873829E-3</v>
      </c>
      <c r="F18">
        <f t="shared" si="16"/>
        <v>2.9758908351873829E-3</v>
      </c>
      <c r="G18">
        <f t="shared" si="16"/>
        <v>2.9758908351873829E-3</v>
      </c>
      <c r="H18">
        <f t="shared" si="16"/>
        <v>2.9758908351873829E-3</v>
      </c>
      <c r="I18">
        <f t="shared" si="16"/>
        <v>2.9758908351873829E-3</v>
      </c>
      <c r="J18">
        <f t="shared" si="16"/>
        <v>2.9758908351873829E-3</v>
      </c>
      <c r="K18">
        <f t="shared" si="16"/>
        <v>2.9758908351873829E-3</v>
      </c>
      <c r="L18">
        <f t="shared" si="16"/>
        <v>2.9758908351873829E-3</v>
      </c>
      <c r="M18">
        <f t="shared" si="16"/>
        <v>2.9758908351873829E-3</v>
      </c>
      <c r="N18">
        <f t="shared" si="16"/>
        <v>2.9758908351873829E-3</v>
      </c>
    </row>
    <row r="19" spans="1:14" x14ac:dyDescent="0.35">
      <c r="A19" t="s">
        <v>17</v>
      </c>
      <c r="B19" t="s">
        <v>29</v>
      </c>
      <c r="C19">
        <f>'[4]Inputs EPM'!$AP$24</f>
        <v>7.6042793011935226E-3</v>
      </c>
      <c r="D19">
        <f t="shared" ref="D19:N19" si="17">C19</f>
        <v>7.6042793011935226E-3</v>
      </c>
      <c r="E19">
        <f t="shared" si="17"/>
        <v>7.6042793011935226E-3</v>
      </c>
      <c r="F19">
        <f t="shared" si="17"/>
        <v>7.6042793011935226E-3</v>
      </c>
      <c r="G19">
        <f t="shared" si="17"/>
        <v>7.6042793011935226E-3</v>
      </c>
      <c r="H19">
        <f t="shared" si="17"/>
        <v>7.6042793011935226E-3</v>
      </c>
      <c r="I19">
        <f t="shared" si="17"/>
        <v>7.6042793011935226E-3</v>
      </c>
      <c r="J19">
        <f t="shared" si="17"/>
        <v>7.6042793011935226E-3</v>
      </c>
      <c r="K19">
        <f t="shared" si="17"/>
        <v>7.6042793011935226E-3</v>
      </c>
      <c r="L19">
        <f t="shared" si="17"/>
        <v>7.6042793011935226E-3</v>
      </c>
      <c r="M19">
        <f t="shared" si="17"/>
        <v>7.6042793011935226E-3</v>
      </c>
      <c r="N19">
        <f t="shared" si="17"/>
        <v>7.6042793011935226E-3</v>
      </c>
    </row>
    <row r="20" spans="1:14" x14ac:dyDescent="0.35">
      <c r="A20" t="s">
        <v>18</v>
      </c>
      <c r="B20" t="s">
        <v>29</v>
      </c>
      <c r="C20">
        <f>'[4]Inputs EPM'!$AP$31</f>
        <v>6.8079778704371536E-3</v>
      </c>
      <c r="D20">
        <f t="shared" ref="D20:N20" si="18">C20</f>
        <v>6.8079778704371536E-3</v>
      </c>
      <c r="E20">
        <f t="shared" si="18"/>
        <v>6.8079778704371536E-3</v>
      </c>
      <c r="F20">
        <f t="shared" si="18"/>
        <v>6.8079778704371536E-3</v>
      </c>
      <c r="G20">
        <f t="shared" si="18"/>
        <v>6.8079778704371536E-3</v>
      </c>
      <c r="H20">
        <f t="shared" si="18"/>
        <v>6.8079778704371536E-3</v>
      </c>
      <c r="I20">
        <f t="shared" si="18"/>
        <v>6.8079778704371536E-3</v>
      </c>
      <c r="J20">
        <f t="shared" si="18"/>
        <v>6.8079778704371536E-3</v>
      </c>
      <c r="K20">
        <f t="shared" si="18"/>
        <v>6.8079778704371536E-3</v>
      </c>
      <c r="L20">
        <f t="shared" si="18"/>
        <v>6.8079778704371536E-3</v>
      </c>
      <c r="M20">
        <f t="shared" si="18"/>
        <v>6.8079778704371536E-3</v>
      </c>
      <c r="N20">
        <f t="shared" si="18"/>
        <v>6.8079778704371536E-3</v>
      </c>
    </row>
    <row r="21" spans="1:14" x14ac:dyDescent="0.35">
      <c r="A21" t="s">
        <v>16</v>
      </c>
      <c r="B21" t="s">
        <v>29</v>
      </c>
      <c r="C21">
        <f>'[4]Inputs EPM'!$AP$38</f>
        <v>6.9739320865169789E-3</v>
      </c>
      <c r="D21">
        <f t="shared" ref="D21:N21" si="19">C21</f>
        <v>6.9739320865169789E-3</v>
      </c>
      <c r="E21">
        <f t="shared" si="19"/>
        <v>6.9739320865169789E-3</v>
      </c>
      <c r="F21">
        <f t="shared" si="19"/>
        <v>6.9739320865169789E-3</v>
      </c>
      <c r="G21">
        <f t="shared" si="19"/>
        <v>6.9739320865169789E-3</v>
      </c>
      <c r="H21">
        <f t="shared" si="19"/>
        <v>6.9739320865169789E-3</v>
      </c>
      <c r="I21">
        <f t="shared" si="19"/>
        <v>6.9739320865169789E-3</v>
      </c>
      <c r="J21">
        <f t="shared" si="19"/>
        <v>6.9739320865169789E-3</v>
      </c>
      <c r="K21">
        <f t="shared" si="19"/>
        <v>6.9739320865169789E-3</v>
      </c>
      <c r="L21">
        <f t="shared" si="19"/>
        <v>6.9739320865169789E-3</v>
      </c>
      <c r="M21">
        <f t="shared" si="19"/>
        <v>6.9739320865169789E-3</v>
      </c>
      <c r="N21">
        <f t="shared" si="19"/>
        <v>6.9739320865169789E-3</v>
      </c>
    </row>
    <row r="22" spans="1:14" x14ac:dyDescent="0.35">
      <c r="A22" t="s">
        <v>19</v>
      </c>
      <c r="B22" t="s">
        <v>29</v>
      </c>
      <c r="C22">
        <f>'[4]Inputs EPM'!$AP$45</f>
        <v>7.2336539949804076E-3</v>
      </c>
      <c r="D22">
        <f t="shared" ref="D22:N22" si="20">C22</f>
        <v>7.2336539949804076E-3</v>
      </c>
      <c r="E22">
        <f t="shared" si="20"/>
        <v>7.2336539949804076E-3</v>
      </c>
      <c r="F22">
        <f t="shared" si="20"/>
        <v>7.2336539949804076E-3</v>
      </c>
      <c r="G22">
        <f t="shared" si="20"/>
        <v>7.2336539949804076E-3</v>
      </c>
      <c r="H22">
        <f t="shared" si="20"/>
        <v>7.2336539949804076E-3</v>
      </c>
      <c r="I22">
        <f t="shared" si="20"/>
        <v>7.2336539949804076E-3</v>
      </c>
      <c r="J22">
        <f t="shared" si="20"/>
        <v>7.2336539949804076E-3</v>
      </c>
      <c r="K22">
        <f t="shared" si="20"/>
        <v>7.2336539949804076E-3</v>
      </c>
      <c r="L22">
        <f t="shared" si="20"/>
        <v>7.2336539949804076E-3</v>
      </c>
      <c r="M22">
        <f t="shared" si="20"/>
        <v>7.2336539949804076E-3</v>
      </c>
      <c r="N22">
        <f t="shared" si="20"/>
        <v>7.2336539949804076E-3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C6F1-5E84-454B-BD36-ABE2DC374186}">
  <dimension ref="A1:O50"/>
  <sheetViews>
    <sheetView workbookViewId="0">
      <selection activeCell="E16" sqref="E16"/>
    </sheetView>
  </sheetViews>
  <sheetFormatPr baseColWidth="10" defaultRowHeight="14.5" x14ac:dyDescent="0.35"/>
  <sheetData>
    <row r="1" spans="1:15" x14ac:dyDescent="0.35">
      <c r="A1" s="2" t="s">
        <v>4</v>
      </c>
      <c r="B1" s="2" t="s">
        <v>38</v>
      </c>
      <c r="C1" s="2" t="s">
        <v>14</v>
      </c>
      <c r="D1" s="3">
        <v>46113</v>
      </c>
      <c r="E1" s="3">
        <v>46143</v>
      </c>
      <c r="F1" s="3">
        <v>46174</v>
      </c>
      <c r="G1" s="3">
        <v>46204</v>
      </c>
      <c r="H1" s="3">
        <v>46235</v>
      </c>
      <c r="I1" s="3">
        <v>46266</v>
      </c>
      <c r="J1" s="3">
        <v>46296</v>
      </c>
      <c r="K1" s="3">
        <v>46327</v>
      </c>
      <c r="L1" s="3">
        <v>46357</v>
      </c>
      <c r="M1" s="3">
        <v>46388</v>
      </c>
      <c r="N1" s="3">
        <v>46419</v>
      </c>
      <c r="O1" s="3">
        <v>46447</v>
      </c>
    </row>
    <row r="2" spans="1:15" x14ac:dyDescent="0.35">
      <c r="A2" t="s">
        <v>5</v>
      </c>
      <c r="B2" t="s">
        <v>30</v>
      </c>
      <c r="C2" t="s">
        <v>31</v>
      </c>
      <c r="D2">
        <f>'[5]Inpust EPM'!H4</f>
        <v>0.11753214242683191</v>
      </c>
      <c r="E2">
        <f>D2</f>
        <v>0.11753214242683191</v>
      </c>
      <c r="F2">
        <f t="shared" ref="F2:M2" si="0">E2</f>
        <v>0.11753214242683191</v>
      </c>
      <c r="G2">
        <f t="shared" si="0"/>
        <v>0.11753214242683191</v>
      </c>
      <c r="H2">
        <f t="shared" si="0"/>
        <v>0.11753214242683191</v>
      </c>
      <c r="I2">
        <f t="shared" si="0"/>
        <v>0.11753214242683191</v>
      </c>
      <c r="J2">
        <f t="shared" si="0"/>
        <v>0.11753214242683191</v>
      </c>
      <c r="K2">
        <f t="shared" si="0"/>
        <v>0.11753214242683191</v>
      </c>
      <c r="L2">
        <f t="shared" si="0"/>
        <v>0.11753214242683191</v>
      </c>
      <c r="M2">
        <f t="shared" si="0"/>
        <v>0.11753214242683191</v>
      </c>
      <c r="N2">
        <f t="shared" ref="N2:O17" si="1">M2</f>
        <v>0.11753214242683191</v>
      </c>
      <c r="O2">
        <f t="shared" si="1"/>
        <v>0.11753214242683191</v>
      </c>
    </row>
    <row r="3" spans="1:15" x14ac:dyDescent="0.35">
      <c r="A3" t="s">
        <v>5</v>
      </c>
      <c r="B3" t="s">
        <v>32</v>
      </c>
      <c r="C3" t="s">
        <v>31</v>
      </c>
      <c r="D3">
        <f>'[5]Inpust EPM'!H5</f>
        <v>1.2196277491937064</v>
      </c>
      <c r="E3">
        <f t="shared" ref="E3:M50" si="2">D3</f>
        <v>1.2196277491937064</v>
      </c>
      <c r="F3">
        <f t="shared" si="2"/>
        <v>1.2196277491937064</v>
      </c>
      <c r="G3">
        <f t="shared" si="2"/>
        <v>1.2196277491937064</v>
      </c>
      <c r="H3">
        <f t="shared" si="2"/>
        <v>1.2196277491937064</v>
      </c>
      <c r="I3">
        <f t="shared" si="2"/>
        <v>1.2196277491937064</v>
      </c>
      <c r="J3">
        <f t="shared" si="2"/>
        <v>1.2196277491937064</v>
      </c>
      <c r="K3">
        <f t="shared" si="2"/>
        <v>1.2196277491937064</v>
      </c>
      <c r="L3">
        <f t="shared" si="2"/>
        <v>1.2196277491937064</v>
      </c>
      <c r="M3">
        <f t="shared" si="2"/>
        <v>1.2196277491937064</v>
      </c>
      <c r="N3">
        <f t="shared" si="1"/>
        <v>1.2196277491937064</v>
      </c>
      <c r="O3">
        <f t="shared" si="1"/>
        <v>1.2196277491937064</v>
      </c>
    </row>
    <row r="4" spans="1:15" x14ac:dyDescent="0.35">
      <c r="A4" t="s">
        <v>5</v>
      </c>
      <c r="B4" t="s">
        <v>33</v>
      </c>
      <c r="C4" t="s">
        <v>31</v>
      </c>
      <c r="D4">
        <f>'[5]Inpust EPM'!H6</f>
        <v>0.833668571476882</v>
      </c>
      <c r="E4">
        <f t="shared" si="2"/>
        <v>0.833668571476882</v>
      </c>
      <c r="F4">
        <f t="shared" si="2"/>
        <v>0.833668571476882</v>
      </c>
      <c r="G4">
        <f t="shared" si="2"/>
        <v>0.833668571476882</v>
      </c>
      <c r="H4">
        <f t="shared" si="2"/>
        <v>0.833668571476882</v>
      </c>
      <c r="I4">
        <f t="shared" si="2"/>
        <v>0.833668571476882</v>
      </c>
      <c r="J4">
        <f t="shared" si="2"/>
        <v>0.833668571476882</v>
      </c>
      <c r="K4">
        <f t="shared" si="2"/>
        <v>0.833668571476882</v>
      </c>
      <c r="L4">
        <f t="shared" si="2"/>
        <v>0.833668571476882</v>
      </c>
      <c r="M4">
        <f t="shared" si="2"/>
        <v>0.833668571476882</v>
      </c>
      <c r="N4">
        <f t="shared" si="1"/>
        <v>0.833668571476882</v>
      </c>
      <c r="O4">
        <f t="shared" si="1"/>
        <v>0.833668571476882</v>
      </c>
    </row>
    <row r="5" spans="1:15" x14ac:dyDescent="0.35">
      <c r="A5" t="s">
        <v>5</v>
      </c>
      <c r="B5" t="s">
        <v>34</v>
      </c>
      <c r="C5" t="s">
        <v>31</v>
      </c>
      <c r="D5">
        <f>'[5]Inpust EPM'!H7</f>
        <v>1.2012355302217128</v>
      </c>
      <c r="E5">
        <f t="shared" si="2"/>
        <v>1.2012355302217128</v>
      </c>
      <c r="F5">
        <f t="shared" si="2"/>
        <v>1.2012355302217128</v>
      </c>
      <c r="G5">
        <f t="shared" si="2"/>
        <v>1.2012355302217128</v>
      </c>
      <c r="H5">
        <f t="shared" si="2"/>
        <v>1.2012355302217128</v>
      </c>
      <c r="I5">
        <f t="shared" si="2"/>
        <v>1.2012355302217128</v>
      </c>
      <c r="J5">
        <f t="shared" si="2"/>
        <v>1.2012355302217128</v>
      </c>
      <c r="K5">
        <f t="shared" si="2"/>
        <v>1.2012355302217128</v>
      </c>
      <c r="L5">
        <f t="shared" si="2"/>
        <v>1.2012355302217128</v>
      </c>
      <c r="M5">
        <f t="shared" si="2"/>
        <v>1.2012355302217128</v>
      </c>
      <c r="N5">
        <f t="shared" si="1"/>
        <v>1.2012355302217128</v>
      </c>
      <c r="O5">
        <f t="shared" si="1"/>
        <v>1.2012355302217128</v>
      </c>
    </row>
    <row r="6" spans="1:15" x14ac:dyDescent="0.35">
      <c r="A6" t="s">
        <v>5</v>
      </c>
      <c r="B6" t="s">
        <v>35</v>
      </c>
      <c r="C6" t="s">
        <v>31</v>
      </c>
      <c r="D6">
        <f>'[5]Inpust EPM'!H8</f>
        <v>1.4004681708694753</v>
      </c>
      <c r="E6">
        <f t="shared" si="2"/>
        <v>1.4004681708694753</v>
      </c>
      <c r="F6">
        <f t="shared" si="2"/>
        <v>1.4004681708694753</v>
      </c>
      <c r="G6">
        <f t="shared" si="2"/>
        <v>1.4004681708694753</v>
      </c>
      <c r="H6">
        <f t="shared" si="2"/>
        <v>1.4004681708694753</v>
      </c>
      <c r="I6">
        <f t="shared" si="2"/>
        <v>1.4004681708694753</v>
      </c>
      <c r="J6">
        <f t="shared" si="2"/>
        <v>1.4004681708694753</v>
      </c>
      <c r="K6">
        <f t="shared" si="2"/>
        <v>1.4004681708694753</v>
      </c>
      <c r="L6">
        <f t="shared" si="2"/>
        <v>1.4004681708694753</v>
      </c>
      <c r="M6">
        <f t="shared" si="2"/>
        <v>1.4004681708694753</v>
      </c>
      <c r="N6">
        <f t="shared" si="1"/>
        <v>1.4004681708694753</v>
      </c>
      <c r="O6">
        <f t="shared" si="1"/>
        <v>1.4004681708694753</v>
      </c>
    </row>
    <row r="7" spans="1:15" x14ac:dyDescent="0.35">
      <c r="A7" t="s">
        <v>5</v>
      </c>
      <c r="B7" t="s">
        <v>36</v>
      </c>
      <c r="C7" t="s">
        <v>31</v>
      </c>
      <c r="D7">
        <f>'[5]Inpust EPM'!H9</f>
        <v>1.3346373237332181</v>
      </c>
      <c r="E7">
        <f t="shared" si="2"/>
        <v>1.3346373237332181</v>
      </c>
      <c r="F7">
        <f t="shared" si="2"/>
        <v>1.3346373237332181</v>
      </c>
      <c r="G7">
        <f t="shared" si="2"/>
        <v>1.3346373237332181</v>
      </c>
      <c r="H7">
        <f t="shared" si="2"/>
        <v>1.3346373237332181</v>
      </c>
      <c r="I7">
        <f t="shared" si="2"/>
        <v>1.3346373237332181</v>
      </c>
      <c r="J7">
        <f t="shared" si="2"/>
        <v>1.3346373237332181</v>
      </c>
      <c r="K7">
        <f t="shared" si="2"/>
        <v>1.3346373237332181</v>
      </c>
      <c r="L7">
        <f t="shared" si="2"/>
        <v>1.3346373237332181</v>
      </c>
      <c r="M7">
        <f t="shared" si="2"/>
        <v>1.3346373237332181</v>
      </c>
      <c r="N7">
        <f t="shared" si="1"/>
        <v>1.3346373237332181</v>
      </c>
      <c r="O7">
        <f t="shared" si="1"/>
        <v>1.3346373237332181</v>
      </c>
    </row>
    <row r="8" spans="1:15" x14ac:dyDescent="0.35">
      <c r="A8" t="s">
        <v>5</v>
      </c>
      <c r="B8" t="s">
        <v>37</v>
      </c>
      <c r="C8" t="s">
        <v>31</v>
      </c>
      <c r="D8">
        <f>'[5]Inpust EPM'!H10</f>
        <v>1.1228562140163549</v>
      </c>
      <c r="E8">
        <f t="shared" si="2"/>
        <v>1.1228562140163549</v>
      </c>
      <c r="F8">
        <f t="shared" si="2"/>
        <v>1.1228562140163549</v>
      </c>
      <c r="G8">
        <f t="shared" si="2"/>
        <v>1.1228562140163549</v>
      </c>
      <c r="H8">
        <f t="shared" si="2"/>
        <v>1.1228562140163549</v>
      </c>
      <c r="I8">
        <f t="shared" si="2"/>
        <v>1.1228562140163549</v>
      </c>
      <c r="J8">
        <f t="shared" si="2"/>
        <v>1.1228562140163549</v>
      </c>
      <c r="K8">
        <f t="shared" si="2"/>
        <v>1.1228562140163549</v>
      </c>
      <c r="L8">
        <f t="shared" si="2"/>
        <v>1.1228562140163549</v>
      </c>
      <c r="M8">
        <f t="shared" si="2"/>
        <v>1.1228562140163549</v>
      </c>
      <c r="N8">
        <f t="shared" si="1"/>
        <v>1.1228562140163549</v>
      </c>
      <c r="O8">
        <f t="shared" si="1"/>
        <v>1.1228562140163549</v>
      </c>
    </row>
    <row r="9" spans="1:15" x14ac:dyDescent="0.35">
      <c r="A9" t="s">
        <v>10</v>
      </c>
      <c r="B9" t="s">
        <v>30</v>
      </c>
      <c r="C9" t="s">
        <v>31</v>
      </c>
      <c r="D9">
        <f>'[5]Inpust EPM'!H11</f>
        <v>0.17658654748977531</v>
      </c>
      <c r="E9">
        <f t="shared" si="2"/>
        <v>0.17658654748977531</v>
      </c>
      <c r="F9">
        <f t="shared" si="2"/>
        <v>0.17658654748977531</v>
      </c>
      <c r="G9">
        <f t="shared" si="2"/>
        <v>0.17658654748977531</v>
      </c>
      <c r="H9">
        <f t="shared" si="2"/>
        <v>0.17658654748977531</v>
      </c>
      <c r="I9">
        <f t="shared" si="2"/>
        <v>0.17658654748977531</v>
      </c>
      <c r="J9">
        <f t="shared" si="2"/>
        <v>0.17658654748977531</v>
      </c>
      <c r="K9">
        <f t="shared" si="2"/>
        <v>0.17658654748977531</v>
      </c>
      <c r="L9">
        <f t="shared" si="2"/>
        <v>0.17658654748977531</v>
      </c>
      <c r="M9">
        <f t="shared" si="2"/>
        <v>0.17658654748977531</v>
      </c>
      <c r="N9">
        <f t="shared" si="1"/>
        <v>0.17658654748977531</v>
      </c>
      <c r="O9">
        <f t="shared" si="1"/>
        <v>0.17658654748977531</v>
      </c>
    </row>
    <row r="10" spans="1:15" x14ac:dyDescent="0.35">
      <c r="A10" t="s">
        <v>10</v>
      </c>
      <c r="B10" t="s">
        <v>32</v>
      </c>
      <c r="C10" t="s">
        <v>31</v>
      </c>
      <c r="D10">
        <f>'[5]Inpust EPM'!H12</f>
        <v>1.5167702959183564</v>
      </c>
      <c r="E10">
        <f t="shared" si="2"/>
        <v>1.5167702959183564</v>
      </c>
      <c r="F10">
        <f t="shared" si="2"/>
        <v>1.5167702959183564</v>
      </c>
      <c r="G10">
        <f t="shared" si="2"/>
        <v>1.5167702959183564</v>
      </c>
      <c r="H10">
        <f t="shared" si="2"/>
        <v>1.5167702959183564</v>
      </c>
      <c r="I10">
        <f t="shared" si="2"/>
        <v>1.5167702959183564</v>
      </c>
      <c r="J10">
        <f t="shared" si="2"/>
        <v>1.5167702959183564</v>
      </c>
      <c r="K10">
        <f t="shared" si="2"/>
        <v>1.5167702959183564</v>
      </c>
      <c r="L10">
        <f t="shared" si="2"/>
        <v>1.5167702959183564</v>
      </c>
      <c r="M10">
        <f t="shared" si="2"/>
        <v>1.5167702959183564</v>
      </c>
      <c r="N10">
        <f t="shared" si="1"/>
        <v>1.5167702959183564</v>
      </c>
      <c r="O10">
        <f t="shared" si="1"/>
        <v>1.5167702959183564</v>
      </c>
    </row>
    <row r="11" spans="1:15" x14ac:dyDescent="0.35">
      <c r="A11" t="s">
        <v>10</v>
      </c>
      <c r="B11" t="s">
        <v>33</v>
      </c>
      <c r="C11" t="s">
        <v>31</v>
      </c>
      <c r="D11">
        <f>'[5]Inpust EPM'!H13</f>
        <v>1.6698742989259194</v>
      </c>
      <c r="E11">
        <f t="shared" si="2"/>
        <v>1.6698742989259194</v>
      </c>
      <c r="F11">
        <f t="shared" si="2"/>
        <v>1.6698742989259194</v>
      </c>
      <c r="G11">
        <f t="shared" si="2"/>
        <v>1.6698742989259194</v>
      </c>
      <c r="H11">
        <f t="shared" si="2"/>
        <v>1.6698742989259194</v>
      </c>
      <c r="I11">
        <f t="shared" si="2"/>
        <v>1.6698742989259194</v>
      </c>
      <c r="J11">
        <f t="shared" si="2"/>
        <v>1.6698742989259194</v>
      </c>
      <c r="K11">
        <f t="shared" si="2"/>
        <v>1.6698742989259194</v>
      </c>
      <c r="L11">
        <f t="shared" si="2"/>
        <v>1.6698742989259194</v>
      </c>
      <c r="M11">
        <f t="shared" si="2"/>
        <v>1.6698742989259194</v>
      </c>
      <c r="N11">
        <f t="shared" si="1"/>
        <v>1.6698742989259194</v>
      </c>
      <c r="O11">
        <f t="shared" si="1"/>
        <v>1.6698742989259194</v>
      </c>
    </row>
    <row r="12" spans="1:15" x14ac:dyDescent="0.35">
      <c r="A12" t="s">
        <v>10</v>
      </c>
      <c r="B12" t="s">
        <v>34</v>
      </c>
      <c r="C12" t="s">
        <v>31</v>
      </c>
      <c r="D12">
        <f>'[5]Inpust EPM'!H14</f>
        <v>1.4892863256195261</v>
      </c>
      <c r="E12">
        <f t="shared" si="2"/>
        <v>1.4892863256195261</v>
      </c>
      <c r="F12">
        <f t="shared" si="2"/>
        <v>1.4892863256195261</v>
      </c>
      <c r="G12">
        <f t="shared" si="2"/>
        <v>1.4892863256195261</v>
      </c>
      <c r="H12">
        <f t="shared" si="2"/>
        <v>1.4892863256195261</v>
      </c>
      <c r="I12">
        <f t="shared" si="2"/>
        <v>1.4892863256195261</v>
      </c>
      <c r="J12">
        <f t="shared" si="2"/>
        <v>1.4892863256195261</v>
      </c>
      <c r="K12">
        <f t="shared" si="2"/>
        <v>1.4892863256195261</v>
      </c>
      <c r="L12">
        <f t="shared" si="2"/>
        <v>1.4892863256195261</v>
      </c>
      <c r="M12">
        <f t="shared" si="2"/>
        <v>1.4892863256195261</v>
      </c>
      <c r="N12">
        <f t="shared" si="1"/>
        <v>1.4892863256195261</v>
      </c>
      <c r="O12">
        <f t="shared" si="1"/>
        <v>1.4892863256195261</v>
      </c>
    </row>
    <row r="13" spans="1:15" x14ac:dyDescent="0.35">
      <c r="A13" t="s">
        <v>10</v>
      </c>
      <c r="B13" t="s">
        <v>35</v>
      </c>
      <c r="C13" t="s">
        <v>31</v>
      </c>
      <c r="D13">
        <f>'[5]Inpust EPM'!H15</f>
        <v>1.5761163650469805</v>
      </c>
      <c r="E13">
        <f t="shared" si="2"/>
        <v>1.5761163650469805</v>
      </c>
      <c r="F13">
        <f t="shared" si="2"/>
        <v>1.5761163650469805</v>
      </c>
      <c r="G13">
        <f t="shared" si="2"/>
        <v>1.5761163650469805</v>
      </c>
      <c r="H13">
        <f t="shared" si="2"/>
        <v>1.5761163650469805</v>
      </c>
      <c r="I13">
        <f t="shared" si="2"/>
        <v>1.5761163650469805</v>
      </c>
      <c r="J13">
        <f t="shared" si="2"/>
        <v>1.5761163650469805</v>
      </c>
      <c r="K13">
        <f t="shared" si="2"/>
        <v>1.5761163650469805</v>
      </c>
      <c r="L13">
        <f t="shared" si="2"/>
        <v>1.5761163650469805</v>
      </c>
      <c r="M13">
        <f t="shared" si="2"/>
        <v>1.5761163650469805</v>
      </c>
      <c r="N13">
        <f t="shared" si="1"/>
        <v>1.5761163650469805</v>
      </c>
      <c r="O13">
        <f t="shared" si="1"/>
        <v>1.5761163650469805</v>
      </c>
    </row>
    <row r="14" spans="1:15" x14ac:dyDescent="0.35">
      <c r="A14" t="s">
        <v>10</v>
      </c>
      <c r="B14" t="s">
        <v>36</v>
      </c>
      <c r="C14" t="s">
        <v>31</v>
      </c>
      <c r="D14">
        <f>'[5]Inpust EPM'!H16</f>
        <v>1.5455125952594335</v>
      </c>
      <c r="E14">
        <f t="shared" si="2"/>
        <v>1.5455125952594335</v>
      </c>
      <c r="F14">
        <f t="shared" si="2"/>
        <v>1.5455125952594335</v>
      </c>
      <c r="G14">
        <f t="shared" si="2"/>
        <v>1.5455125952594335</v>
      </c>
      <c r="H14">
        <f t="shared" si="2"/>
        <v>1.5455125952594335</v>
      </c>
      <c r="I14">
        <f t="shared" si="2"/>
        <v>1.5455125952594335</v>
      </c>
      <c r="J14">
        <f t="shared" si="2"/>
        <v>1.5455125952594335</v>
      </c>
      <c r="K14">
        <f t="shared" si="2"/>
        <v>1.5455125952594335</v>
      </c>
      <c r="L14">
        <f t="shared" si="2"/>
        <v>1.5455125952594335</v>
      </c>
      <c r="M14">
        <f t="shared" si="2"/>
        <v>1.5455125952594335</v>
      </c>
      <c r="N14">
        <f t="shared" si="1"/>
        <v>1.5455125952594335</v>
      </c>
      <c r="O14">
        <f t="shared" si="1"/>
        <v>1.5455125952594335</v>
      </c>
    </row>
    <row r="15" spans="1:15" x14ac:dyDescent="0.35">
      <c r="A15" t="s">
        <v>10</v>
      </c>
      <c r="B15" t="s">
        <v>37</v>
      </c>
      <c r="C15" t="s">
        <v>31</v>
      </c>
      <c r="D15">
        <f>'[5]Inpust EPM'!H17</f>
        <v>1.4465798961516596</v>
      </c>
      <c r="E15">
        <f t="shared" si="2"/>
        <v>1.4465798961516596</v>
      </c>
      <c r="F15">
        <f t="shared" si="2"/>
        <v>1.4465798961516596</v>
      </c>
      <c r="G15">
        <f t="shared" si="2"/>
        <v>1.4465798961516596</v>
      </c>
      <c r="H15">
        <f t="shared" si="2"/>
        <v>1.4465798961516596</v>
      </c>
      <c r="I15">
        <f t="shared" si="2"/>
        <v>1.4465798961516596</v>
      </c>
      <c r="J15">
        <f t="shared" si="2"/>
        <v>1.4465798961516596</v>
      </c>
      <c r="K15">
        <f t="shared" si="2"/>
        <v>1.4465798961516596</v>
      </c>
      <c r="L15">
        <f t="shared" si="2"/>
        <v>1.4465798961516596</v>
      </c>
      <c r="M15">
        <f t="shared" si="2"/>
        <v>1.4465798961516596</v>
      </c>
      <c r="N15">
        <f t="shared" si="1"/>
        <v>1.4465798961516596</v>
      </c>
      <c r="O15">
        <f t="shared" si="1"/>
        <v>1.4465798961516596</v>
      </c>
    </row>
    <row r="16" spans="1:15" x14ac:dyDescent="0.35">
      <c r="A16" t="s">
        <v>6</v>
      </c>
      <c r="B16" t="s">
        <v>30</v>
      </c>
      <c r="C16" t="s">
        <v>31</v>
      </c>
      <c r="D16">
        <f>'[5]Inpust EPM'!H18</f>
        <v>0.10573788556091422</v>
      </c>
      <c r="E16">
        <f t="shared" si="2"/>
        <v>0.10573788556091422</v>
      </c>
      <c r="F16">
        <f t="shared" si="2"/>
        <v>0.10573788556091422</v>
      </c>
      <c r="G16">
        <f t="shared" si="2"/>
        <v>0.10573788556091422</v>
      </c>
      <c r="H16">
        <f t="shared" si="2"/>
        <v>0.10573788556091422</v>
      </c>
      <c r="I16">
        <f t="shared" si="2"/>
        <v>0.10573788556091422</v>
      </c>
      <c r="J16">
        <f t="shared" si="2"/>
        <v>0.10573788556091422</v>
      </c>
      <c r="K16">
        <f t="shared" si="2"/>
        <v>0.10573788556091422</v>
      </c>
      <c r="L16">
        <f t="shared" si="2"/>
        <v>0.10573788556091422</v>
      </c>
      <c r="M16">
        <f t="shared" si="2"/>
        <v>0.10573788556091422</v>
      </c>
      <c r="N16">
        <f t="shared" si="1"/>
        <v>0.10573788556091422</v>
      </c>
      <c r="O16">
        <f t="shared" si="1"/>
        <v>0.10573788556091422</v>
      </c>
    </row>
    <row r="17" spans="1:15" x14ac:dyDescent="0.35">
      <c r="A17" t="s">
        <v>6</v>
      </c>
      <c r="B17" t="s">
        <v>32</v>
      </c>
      <c r="C17" t="s">
        <v>31</v>
      </c>
      <c r="D17">
        <f>'[5]Inpust EPM'!H19</f>
        <v>1.2750764594618591</v>
      </c>
      <c r="E17">
        <f t="shared" si="2"/>
        <v>1.2750764594618591</v>
      </c>
      <c r="F17">
        <f t="shared" si="2"/>
        <v>1.2750764594618591</v>
      </c>
      <c r="G17">
        <f t="shared" si="2"/>
        <v>1.2750764594618591</v>
      </c>
      <c r="H17">
        <f t="shared" si="2"/>
        <v>1.2750764594618591</v>
      </c>
      <c r="I17">
        <f t="shared" si="2"/>
        <v>1.2750764594618591</v>
      </c>
      <c r="J17">
        <f t="shared" si="2"/>
        <v>1.2750764594618591</v>
      </c>
      <c r="K17">
        <f t="shared" si="2"/>
        <v>1.2750764594618591</v>
      </c>
      <c r="L17">
        <f t="shared" si="2"/>
        <v>1.2750764594618591</v>
      </c>
      <c r="M17">
        <f t="shared" si="2"/>
        <v>1.2750764594618591</v>
      </c>
      <c r="N17">
        <f t="shared" si="1"/>
        <v>1.2750764594618591</v>
      </c>
      <c r="O17">
        <f t="shared" si="1"/>
        <v>1.2750764594618591</v>
      </c>
    </row>
    <row r="18" spans="1:15" x14ac:dyDescent="0.35">
      <c r="A18" t="s">
        <v>6</v>
      </c>
      <c r="B18" t="s">
        <v>33</v>
      </c>
      <c r="C18" t="s">
        <v>31</v>
      </c>
      <c r="D18">
        <f>'[5]Inpust EPM'!H20</f>
        <v>0.66999706141639737</v>
      </c>
      <c r="E18">
        <f t="shared" si="2"/>
        <v>0.66999706141639737</v>
      </c>
      <c r="F18">
        <f t="shared" si="2"/>
        <v>0.66999706141639737</v>
      </c>
      <c r="G18">
        <f t="shared" si="2"/>
        <v>0.66999706141639737</v>
      </c>
      <c r="H18">
        <f t="shared" si="2"/>
        <v>0.66999706141639737</v>
      </c>
      <c r="I18">
        <f t="shared" si="2"/>
        <v>0.66999706141639737</v>
      </c>
      <c r="J18">
        <f t="shared" si="2"/>
        <v>0.66999706141639737</v>
      </c>
      <c r="K18">
        <f t="shared" si="2"/>
        <v>0.66999706141639737</v>
      </c>
      <c r="L18">
        <f t="shared" si="2"/>
        <v>0.66999706141639737</v>
      </c>
      <c r="M18">
        <f t="shared" si="2"/>
        <v>0.66999706141639737</v>
      </c>
      <c r="N18">
        <f t="shared" ref="N18:O27" si="3">M18</f>
        <v>0.66999706141639737</v>
      </c>
      <c r="O18">
        <f t="shared" si="3"/>
        <v>0.66999706141639737</v>
      </c>
    </row>
    <row r="19" spans="1:15" x14ac:dyDescent="0.35">
      <c r="A19" t="s">
        <v>6</v>
      </c>
      <c r="B19" t="s">
        <v>34</v>
      </c>
      <c r="C19" t="s">
        <v>31</v>
      </c>
      <c r="D19">
        <f>'[5]Inpust EPM'!H21</f>
        <v>1.1626443292895856</v>
      </c>
      <c r="E19">
        <f t="shared" si="2"/>
        <v>1.1626443292895856</v>
      </c>
      <c r="F19">
        <f t="shared" si="2"/>
        <v>1.1626443292895856</v>
      </c>
      <c r="G19">
        <f t="shared" si="2"/>
        <v>1.1626443292895856</v>
      </c>
      <c r="H19">
        <f t="shared" si="2"/>
        <v>1.1626443292895856</v>
      </c>
      <c r="I19">
        <f t="shared" si="2"/>
        <v>1.1626443292895856</v>
      </c>
      <c r="J19">
        <f t="shared" si="2"/>
        <v>1.1626443292895856</v>
      </c>
      <c r="K19">
        <f t="shared" si="2"/>
        <v>1.1626443292895856</v>
      </c>
      <c r="L19">
        <f t="shared" si="2"/>
        <v>1.1626443292895856</v>
      </c>
      <c r="M19">
        <f t="shared" si="2"/>
        <v>1.1626443292895856</v>
      </c>
      <c r="N19">
        <f t="shared" si="3"/>
        <v>1.1626443292895856</v>
      </c>
      <c r="O19">
        <f t="shared" si="3"/>
        <v>1.1626443292895856</v>
      </c>
    </row>
    <row r="20" spans="1:15" x14ac:dyDescent="0.35">
      <c r="A20" t="s">
        <v>6</v>
      </c>
      <c r="B20" t="s">
        <v>35</v>
      </c>
      <c r="C20" t="s">
        <v>31</v>
      </c>
      <c r="D20">
        <f>'[5]Inpust EPM'!H22</f>
        <v>1.5894005842922669</v>
      </c>
      <c r="E20">
        <f t="shared" si="2"/>
        <v>1.5894005842922669</v>
      </c>
      <c r="F20">
        <f t="shared" si="2"/>
        <v>1.5894005842922669</v>
      </c>
      <c r="G20">
        <f t="shared" si="2"/>
        <v>1.5894005842922669</v>
      </c>
      <c r="H20">
        <f t="shared" si="2"/>
        <v>1.5894005842922669</v>
      </c>
      <c r="I20">
        <f t="shared" si="2"/>
        <v>1.5894005842922669</v>
      </c>
      <c r="J20">
        <f t="shared" si="2"/>
        <v>1.5894005842922669</v>
      </c>
      <c r="K20">
        <f t="shared" si="2"/>
        <v>1.5894005842922669</v>
      </c>
      <c r="L20">
        <f t="shared" si="2"/>
        <v>1.5894005842922669</v>
      </c>
      <c r="M20">
        <f t="shared" si="2"/>
        <v>1.5894005842922669</v>
      </c>
      <c r="N20">
        <f t="shared" si="3"/>
        <v>1.5894005842922669</v>
      </c>
      <c r="O20">
        <f t="shared" si="3"/>
        <v>1.5894005842922669</v>
      </c>
    </row>
    <row r="21" spans="1:15" x14ac:dyDescent="0.35">
      <c r="A21" t="s">
        <v>6</v>
      </c>
      <c r="B21" t="s">
        <v>36</v>
      </c>
      <c r="C21" t="s">
        <v>31</v>
      </c>
      <c r="D21">
        <f>'[5]Inpust EPM'!H23</f>
        <v>1.3080521626624997</v>
      </c>
      <c r="E21">
        <f t="shared" si="2"/>
        <v>1.3080521626624997</v>
      </c>
      <c r="F21">
        <f t="shared" si="2"/>
        <v>1.3080521626624997</v>
      </c>
      <c r="G21">
        <f t="shared" si="2"/>
        <v>1.3080521626624997</v>
      </c>
      <c r="H21">
        <f t="shared" si="2"/>
        <v>1.3080521626624997</v>
      </c>
      <c r="I21">
        <f t="shared" si="2"/>
        <v>1.3080521626624997</v>
      </c>
      <c r="J21">
        <f t="shared" si="2"/>
        <v>1.3080521626624997</v>
      </c>
      <c r="K21">
        <f t="shared" si="2"/>
        <v>1.3080521626624997</v>
      </c>
      <c r="L21">
        <f t="shared" si="2"/>
        <v>1.3080521626624997</v>
      </c>
      <c r="M21">
        <f t="shared" si="2"/>
        <v>1.3080521626624997</v>
      </c>
      <c r="N21">
        <f t="shared" si="3"/>
        <v>1.3080521626624997</v>
      </c>
      <c r="O21">
        <f t="shared" si="3"/>
        <v>1.3080521626624997</v>
      </c>
    </row>
    <row r="22" spans="1:15" x14ac:dyDescent="0.35">
      <c r="A22" t="s">
        <v>6</v>
      </c>
      <c r="B22" t="s">
        <v>37</v>
      </c>
      <c r="C22" t="s">
        <v>31</v>
      </c>
      <c r="D22">
        <f>'[5]Inpust EPM'!H24</f>
        <v>1.2561079200846104</v>
      </c>
      <c r="E22">
        <f t="shared" si="2"/>
        <v>1.2561079200846104</v>
      </c>
      <c r="F22">
        <f t="shared" si="2"/>
        <v>1.2561079200846104</v>
      </c>
      <c r="G22">
        <f t="shared" si="2"/>
        <v>1.2561079200846104</v>
      </c>
      <c r="H22">
        <f t="shared" si="2"/>
        <v>1.2561079200846104</v>
      </c>
      <c r="I22">
        <f t="shared" si="2"/>
        <v>1.2561079200846104</v>
      </c>
      <c r="J22">
        <f t="shared" si="2"/>
        <v>1.2561079200846104</v>
      </c>
      <c r="K22">
        <f t="shared" si="2"/>
        <v>1.2561079200846104</v>
      </c>
      <c r="L22">
        <f t="shared" si="2"/>
        <v>1.2561079200846104</v>
      </c>
      <c r="M22">
        <f t="shared" si="2"/>
        <v>1.2561079200846104</v>
      </c>
      <c r="N22">
        <f t="shared" si="3"/>
        <v>1.2561079200846104</v>
      </c>
      <c r="O22">
        <f t="shared" si="3"/>
        <v>1.2561079200846104</v>
      </c>
    </row>
    <row r="23" spans="1:15" x14ac:dyDescent="0.35">
      <c r="A23" t="s">
        <v>17</v>
      </c>
      <c r="B23" t="s">
        <v>30</v>
      </c>
      <c r="C23" t="s">
        <v>31</v>
      </c>
      <c r="D23">
        <f>'[5]Inpust EPM'!H25</f>
        <v>0</v>
      </c>
      <c r="E23">
        <f t="shared" si="2"/>
        <v>0</v>
      </c>
      <c r="F23">
        <f t="shared" si="2"/>
        <v>0</v>
      </c>
      <c r="G23">
        <f t="shared" si="2"/>
        <v>0</v>
      </c>
      <c r="H23">
        <f t="shared" si="2"/>
        <v>0</v>
      </c>
      <c r="I23">
        <f t="shared" si="2"/>
        <v>0</v>
      </c>
      <c r="J23">
        <f t="shared" si="2"/>
        <v>0</v>
      </c>
      <c r="K23">
        <f t="shared" si="2"/>
        <v>0</v>
      </c>
      <c r="L23">
        <f t="shared" si="2"/>
        <v>0</v>
      </c>
      <c r="M23">
        <f t="shared" si="2"/>
        <v>0</v>
      </c>
      <c r="N23">
        <f t="shared" si="3"/>
        <v>0</v>
      </c>
      <c r="O23">
        <f t="shared" si="3"/>
        <v>0</v>
      </c>
    </row>
    <row r="24" spans="1:15" x14ac:dyDescent="0.35">
      <c r="A24" t="s">
        <v>17</v>
      </c>
      <c r="B24" t="s">
        <v>32</v>
      </c>
      <c r="C24" t="s">
        <v>31</v>
      </c>
      <c r="D24">
        <f>'[5]Inpust EPM'!H26</f>
        <v>0</v>
      </c>
      <c r="E24">
        <f t="shared" si="2"/>
        <v>0</v>
      </c>
      <c r="F24">
        <f t="shared" si="2"/>
        <v>0</v>
      </c>
      <c r="G24">
        <f t="shared" si="2"/>
        <v>0</v>
      </c>
      <c r="H24">
        <f t="shared" si="2"/>
        <v>0</v>
      </c>
      <c r="I24">
        <f t="shared" si="2"/>
        <v>0</v>
      </c>
      <c r="J24">
        <f t="shared" si="2"/>
        <v>0</v>
      </c>
      <c r="K24">
        <f t="shared" si="2"/>
        <v>0</v>
      </c>
      <c r="L24">
        <f t="shared" si="2"/>
        <v>0</v>
      </c>
      <c r="M24">
        <f t="shared" si="2"/>
        <v>0</v>
      </c>
      <c r="N24">
        <f t="shared" si="3"/>
        <v>0</v>
      </c>
      <c r="O24">
        <f t="shared" si="3"/>
        <v>0</v>
      </c>
    </row>
    <row r="25" spans="1:15" x14ac:dyDescent="0.35">
      <c r="A25" t="s">
        <v>17</v>
      </c>
      <c r="B25" t="s">
        <v>33</v>
      </c>
      <c r="C25" t="s">
        <v>31</v>
      </c>
      <c r="D25">
        <f>'[5]Inpust EPM'!H27</f>
        <v>0</v>
      </c>
      <c r="E25">
        <f t="shared" si="2"/>
        <v>0</v>
      </c>
      <c r="F25">
        <f t="shared" si="2"/>
        <v>0</v>
      </c>
      <c r="G25">
        <f t="shared" si="2"/>
        <v>0</v>
      </c>
      <c r="H25">
        <f t="shared" si="2"/>
        <v>0</v>
      </c>
      <c r="I25">
        <f t="shared" si="2"/>
        <v>0</v>
      </c>
      <c r="J25">
        <f t="shared" si="2"/>
        <v>0</v>
      </c>
      <c r="K25">
        <f t="shared" si="2"/>
        <v>0</v>
      </c>
      <c r="L25">
        <f t="shared" si="2"/>
        <v>0</v>
      </c>
      <c r="M25">
        <f t="shared" si="2"/>
        <v>0</v>
      </c>
      <c r="N25">
        <f t="shared" si="3"/>
        <v>0</v>
      </c>
      <c r="O25">
        <f t="shared" si="3"/>
        <v>0</v>
      </c>
    </row>
    <row r="26" spans="1:15" x14ac:dyDescent="0.35">
      <c r="A26" t="s">
        <v>17</v>
      </c>
      <c r="B26" t="s">
        <v>34</v>
      </c>
      <c r="C26" t="s">
        <v>31</v>
      </c>
      <c r="D26">
        <f>'[5]Inpust EPM'!H28</f>
        <v>0</v>
      </c>
      <c r="E26">
        <f t="shared" si="2"/>
        <v>0</v>
      </c>
      <c r="F26">
        <f t="shared" si="2"/>
        <v>0</v>
      </c>
      <c r="G26">
        <f t="shared" si="2"/>
        <v>0</v>
      </c>
      <c r="H26">
        <f t="shared" si="2"/>
        <v>0</v>
      </c>
      <c r="I26">
        <f t="shared" si="2"/>
        <v>0</v>
      </c>
      <c r="J26">
        <f t="shared" si="2"/>
        <v>0</v>
      </c>
      <c r="K26">
        <f t="shared" si="2"/>
        <v>0</v>
      </c>
      <c r="L26">
        <f t="shared" si="2"/>
        <v>0</v>
      </c>
      <c r="M26">
        <f t="shared" si="2"/>
        <v>0</v>
      </c>
      <c r="N26">
        <f t="shared" si="3"/>
        <v>0</v>
      </c>
      <c r="O26">
        <f t="shared" si="3"/>
        <v>0</v>
      </c>
    </row>
    <row r="27" spans="1:15" x14ac:dyDescent="0.35">
      <c r="A27" t="s">
        <v>17</v>
      </c>
      <c r="B27" t="s">
        <v>35</v>
      </c>
      <c r="C27" t="s">
        <v>31</v>
      </c>
      <c r="D27">
        <f>'[5]Inpust EPM'!H29</f>
        <v>0</v>
      </c>
      <c r="E27">
        <f t="shared" si="2"/>
        <v>0</v>
      </c>
      <c r="F27">
        <f t="shared" si="2"/>
        <v>0</v>
      </c>
      <c r="G27">
        <f t="shared" si="2"/>
        <v>0</v>
      </c>
      <c r="H27">
        <f t="shared" si="2"/>
        <v>0</v>
      </c>
      <c r="I27">
        <f t="shared" si="2"/>
        <v>0</v>
      </c>
      <c r="J27">
        <f t="shared" si="2"/>
        <v>0</v>
      </c>
      <c r="K27">
        <f t="shared" si="2"/>
        <v>0</v>
      </c>
      <c r="L27">
        <f t="shared" si="2"/>
        <v>0</v>
      </c>
      <c r="M27">
        <f t="shared" si="2"/>
        <v>0</v>
      </c>
      <c r="N27">
        <f t="shared" si="3"/>
        <v>0</v>
      </c>
      <c r="O27">
        <f t="shared" si="3"/>
        <v>0</v>
      </c>
    </row>
    <row r="28" spans="1:15" x14ac:dyDescent="0.35">
      <c r="A28" t="s">
        <v>17</v>
      </c>
      <c r="B28" t="s">
        <v>36</v>
      </c>
      <c r="C28" t="s">
        <v>31</v>
      </c>
      <c r="D28">
        <f>'[5]Inpust EPM'!H30</f>
        <v>0</v>
      </c>
      <c r="E28">
        <f t="shared" si="2"/>
        <v>0</v>
      </c>
      <c r="F28">
        <f t="shared" si="2"/>
        <v>0</v>
      </c>
      <c r="G28">
        <f t="shared" si="2"/>
        <v>0</v>
      </c>
      <c r="H28">
        <f t="shared" si="2"/>
        <v>0</v>
      </c>
      <c r="I28">
        <f t="shared" si="2"/>
        <v>0</v>
      </c>
      <c r="J28">
        <f t="shared" si="2"/>
        <v>0</v>
      </c>
      <c r="K28">
        <f t="shared" si="2"/>
        <v>0</v>
      </c>
      <c r="L28">
        <f t="shared" si="2"/>
        <v>0</v>
      </c>
      <c r="M28">
        <f t="shared" ref="F28:M43" si="4">L28</f>
        <v>0</v>
      </c>
      <c r="N28">
        <f t="shared" ref="N28:O28" si="5">M28</f>
        <v>0</v>
      </c>
      <c r="O28">
        <f t="shared" si="5"/>
        <v>0</v>
      </c>
    </row>
    <row r="29" spans="1:15" x14ac:dyDescent="0.35">
      <c r="A29" t="s">
        <v>17</v>
      </c>
      <c r="B29" t="s">
        <v>37</v>
      </c>
      <c r="C29" t="s">
        <v>31</v>
      </c>
      <c r="D29">
        <f>'[5]Inpust EPM'!H31</f>
        <v>0</v>
      </c>
      <c r="E29">
        <f t="shared" si="2"/>
        <v>0</v>
      </c>
      <c r="F29">
        <f t="shared" si="4"/>
        <v>0</v>
      </c>
      <c r="G29">
        <f t="shared" si="4"/>
        <v>0</v>
      </c>
      <c r="H29">
        <f t="shared" si="4"/>
        <v>0</v>
      </c>
      <c r="I29">
        <f t="shared" si="4"/>
        <v>0</v>
      </c>
      <c r="J29">
        <f t="shared" si="4"/>
        <v>0</v>
      </c>
      <c r="K29">
        <f t="shared" si="4"/>
        <v>0</v>
      </c>
      <c r="L29">
        <f t="shared" si="4"/>
        <v>0</v>
      </c>
      <c r="M29">
        <f t="shared" si="4"/>
        <v>0</v>
      </c>
      <c r="N29">
        <f t="shared" ref="N29:O29" si="6">M29</f>
        <v>0</v>
      </c>
      <c r="O29">
        <f t="shared" si="6"/>
        <v>0</v>
      </c>
    </row>
    <row r="30" spans="1:15" x14ac:dyDescent="0.35">
      <c r="A30" t="s">
        <v>18</v>
      </c>
      <c r="B30" t="s">
        <v>30</v>
      </c>
      <c r="C30" t="s">
        <v>31</v>
      </c>
      <c r="D30">
        <f>'[5]Inpust EPM'!H32</f>
        <v>0.1103695565305296</v>
      </c>
      <c r="E30">
        <f t="shared" si="2"/>
        <v>0.1103695565305296</v>
      </c>
      <c r="F30">
        <f t="shared" si="4"/>
        <v>0.1103695565305296</v>
      </c>
      <c r="G30">
        <f t="shared" si="4"/>
        <v>0.1103695565305296</v>
      </c>
      <c r="H30">
        <f t="shared" si="4"/>
        <v>0.1103695565305296</v>
      </c>
      <c r="I30">
        <f t="shared" si="4"/>
        <v>0.1103695565305296</v>
      </c>
      <c r="J30">
        <f t="shared" si="4"/>
        <v>0.1103695565305296</v>
      </c>
      <c r="K30">
        <f t="shared" si="4"/>
        <v>0.1103695565305296</v>
      </c>
      <c r="L30">
        <f t="shared" si="4"/>
        <v>0.1103695565305296</v>
      </c>
      <c r="M30">
        <f t="shared" si="4"/>
        <v>0.1103695565305296</v>
      </c>
      <c r="N30">
        <f t="shared" ref="N30:O30" si="7">M30</f>
        <v>0.1103695565305296</v>
      </c>
      <c r="O30">
        <f t="shared" si="7"/>
        <v>0.1103695565305296</v>
      </c>
    </row>
    <row r="31" spans="1:15" x14ac:dyDescent="0.35">
      <c r="A31" t="s">
        <v>18</v>
      </c>
      <c r="B31" t="s">
        <v>32</v>
      </c>
      <c r="C31" t="s">
        <v>31</v>
      </c>
      <c r="D31">
        <f>'[5]Inpust EPM'!H33</f>
        <v>1.3534978611225592</v>
      </c>
      <c r="E31">
        <f t="shared" si="2"/>
        <v>1.3534978611225592</v>
      </c>
      <c r="F31">
        <f t="shared" si="4"/>
        <v>1.3534978611225592</v>
      </c>
      <c r="G31">
        <f t="shared" si="4"/>
        <v>1.3534978611225592</v>
      </c>
      <c r="H31">
        <f t="shared" si="4"/>
        <v>1.3534978611225592</v>
      </c>
      <c r="I31">
        <f t="shared" si="4"/>
        <v>1.3534978611225592</v>
      </c>
      <c r="J31">
        <f t="shared" si="4"/>
        <v>1.3534978611225592</v>
      </c>
      <c r="K31">
        <f t="shared" si="4"/>
        <v>1.3534978611225592</v>
      </c>
      <c r="L31">
        <f t="shared" si="4"/>
        <v>1.3534978611225592</v>
      </c>
      <c r="M31">
        <f t="shared" si="4"/>
        <v>1.3534978611225592</v>
      </c>
      <c r="N31">
        <f t="shared" ref="N31:O31" si="8">M31</f>
        <v>1.3534978611225592</v>
      </c>
      <c r="O31">
        <f t="shared" si="8"/>
        <v>1.3534978611225592</v>
      </c>
    </row>
    <row r="32" spans="1:15" x14ac:dyDescent="0.35">
      <c r="A32" t="s">
        <v>18</v>
      </c>
      <c r="B32" t="s">
        <v>33</v>
      </c>
      <c r="C32" t="s">
        <v>31</v>
      </c>
      <c r="D32">
        <f>'[5]Inpust EPM'!H34</f>
        <v>0.9984143621166921</v>
      </c>
      <c r="E32">
        <f t="shared" si="2"/>
        <v>0.9984143621166921</v>
      </c>
      <c r="F32">
        <f t="shared" si="4"/>
        <v>0.9984143621166921</v>
      </c>
      <c r="G32">
        <f t="shared" si="4"/>
        <v>0.9984143621166921</v>
      </c>
      <c r="H32">
        <f t="shared" si="4"/>
        <v>0.9984143621166921</v>
      </c>
      <c r="I32">
        <f t="shared" si="4"/>
        <v>0.9984143621166921</v>
      </c>
      <c r="J32">
        <f t="shared" si="4"/>
        <v>0.9984143621166921</v>
      </c>
      <c r="K32">
        <f t="shared" si="4"/>
        <v>0.9984143621166921</v>
      </c>
      <c r="L32">
        <f t="shared" si="4"/>
        <v>0.9984143621166921</v>
      </c>
      <c r="M32">
        <f t="shared" si="4"/>
        <v>0.9984143621166921</v>
      </c>
      <c r="N32">
        <f t="shared" ref="N32:O32" si="9">M32</f>
        <v>0.9984143621166921</v>
      </c>
      <c r="O32">
        <f t="shared" si="9"/>
        <v>0.9984143621166921</v>
      </c>
    </row>
    <row r="33" spans="1:15" x14ac:dyDescent="0.35">
      <c r="A33" t="s">
        <v>18</v>
      </c>
      <c r="B33" t="s">
        <v>34</v>
      </c>
      <c r="C33" t="s">
        <v>31</v>
      </c>
      <c r="D33">
        <f>'[5]Inpust EPM'!H35</f>
        <v>1.4263694996459122</v>
      </c>
      <c r="E33">
        <f t="shared" si="2"/>
        <v>1.4263694996459122</v>
      </c>
      <c r="F33">
        <f t="shared" si="4"/>
        <v>1.4263694996459122</v>
      </c>
      <c r="G33">
        <f t="shared" si="4"/>
        <v>1.4263694996459122</v>
      </c>
      <c r="H33">
        <f t="shared" si="4"/>
        <v>1.4263694996459122</v>
      </c>
      <c r="I33">
        <f t="shared" si="4"/>
        <v>1.4263694996459122</v>
      </c>
      <c r="J33">
        <f t="shared" si="4"/>
        <v>1.4263694996459122</v>
      </c>
      <c r="K33">
        <f t="shared" si="4"/>
        <v>1.4263694996459122</v>
      </c>
      <c r="L33">
        <f t="shared" si="4"/>
        <v>1.4263694996459122</v>
      </c>
      <c r="M33">
        <f t="shared" si="4"/>
        <v>1.4263694996459122</v>
      </c>
      <c r="N33">
        <f t="shared" ref="N33:O33" si="10">M33</f>
        <v>1.4263694996459122</v>
      </c>
      <c r="O33">
        <f t="shared" si="10"/>
        <v>1.4263694996459122</v>
      </c>
    </row>
    <row r="34" spans="1:15" x14ac:dyDescent="0.35">
      <c r="A34" t="s">
        <v>18</v>
      </c>
      <c r="B34" t="s">
        <v>35</v>
      </c>
      <c r="C34" t="s">
        <v>31</v>
      </c>
      <c r="D34">
        <f>'[5]Inpust EPM'!H36</f>
        <v>1.5766295637342114</v>
      </c>
      <c r="E34">
        <f t="shared" si="2"/>
        <v>1.5766295637342114</v>
      </c>
      <c r="F34">
        <f t="shared" si="4"/>
        <v>1.5766295637342114</v>
      </c>
      <c r="G34">
        <f t="shared" si="4"/>
        <v>1.5766295637342114</v>
      </c>
      <c r="H34">
        <f t="shared" si="4"/>
        <v>1.5766295637342114</v>
      </c>
      <c r="I34">
        <f t="shared" si="4"/>
        <v>1.5766295637342114</v>
      </c>
      <c r="J34">
        <f t="shared" si="4"/>
        <v>1.5766295637342114</v>
      </c>
      <c r="K34">
        <f t="shared" si="4"/>
        <v>1.5766295637342114</v>
      </c>
      <c r="L34">
        <f t="shared" si="4"/>
        <v>1.5766295637342114</v>
      </c>
      <c r="M34">
        <f t="shared" si="4"/>
        <v>1.5766295637342114</v>
      </c>
      <c r="N34">
        <f t="shared" ref="N34:O34" si="11">M34</f>
        <v>1.5766295637342114</v>
      </c>
      <c r="O34">
        <f t="shared" si="11"/>
        <v>1.5766295637342114</v>
      </c>
    </row>
    <row r="35" spans="1:15" x14ac:dyDescent="0.35">
      <c r="A35" t="s">
        <v>18</v>
      </c>
      <c r="B35" t="s">
        <v>36</v>
      </c>
      <c r="C35" t="s">
        <v>31</v>
      </c>
      <c r="D35">
        <f>'[5]Inpust EPM'!H37</f>
        <v>1.2506139993560712</v>
      </c>
      <c r="E35">
        <f t="shared" si="2"/>
        <v>1.2506139993560712</v>
      </c>
      <c r="F35">
        <f t="shared" si="4"/>
        <v>1.2506139993560712</v>
      </c>
      <c r="G35">
        <f t="shared" si="4"/>
        <v>1.2506139993560712</v>
      </c>
      <c r="H35">
        <f t="shared" si="4"/>
        <v>1.2506139993560712</v>
      </c>
      <c r="I35">
        <f t="shared" si="4"/>
        <v>1.2506139993560712</v>
      </c>
      <c r="J35">
        <f t="shared" si="4"/>
        <v>1.2506139993560712</v>
      </c>
      <c r="K35">
        <f t="shared" si="4"/>
        <v>1.2506139993560712</v>
      </c>
      <c r="L35">
        <f t="shared" si="4"/>
        <v>1.2506139993560712</v>
      </c>
      <c r="M35">
        <f t="shared" si="4"/>
        <v>1.2506139993560712</v>
      </c>
      <c r="N35">
        <f t="shared" ref="N35:O35" si="12">M35</f>
        <v>1.2506139993560712</v>
      </c>
      <c r="O35">
        <f t="shared" si="12"/>
        <v>1.2506139993560712</v>
      </c>
    </row>
    <row r="36" spans="1:15" x14ac:dyDescent="0.35">
      <c r="A36" t="s">
        <v>18</v>
      </c>
      <c r="B36" t="s">
        <v>37</v>
      </c>
      <c r="C36" t="s">
        <v>31</v>
      </c>
      <c r="D36">
        <f>'[5]Inpust EPM'!H38</f>
        <v>1.2503049244820892</v>
      </c>
      <c r="E36">
        <f t="shared" si="2"/>
        <v>1.2503049244820892</v>
      </c>
      <c r="F36">
        <f t="shared" si="4"/>
        <v>1.2503049244820892</v>
      </c>
      <c r="G36">
        <f t="shared" si="4"/>
        <v>1.2503049244820892</v>
      </c>
      <c r="H36">
        <f t="shared" si="4"/>
        <v>1.2503049244820892</v>
      </c>
      <c r="I36">
        <f t="shared" si="4"/>
        <v>1.2503049244820892</v>
      </c>
      <c r="J36">
        <f t="shared" si="4"/>
        <v>1.2503049244820892</v>
      </c>
      <c r="K36">
        <f t="shared" si="4"/>
        <v>1.2503049244820892</v>
      </c>
      <c r="L36">
        <f t="shared" si="4"/>
        <v>1.2503049244820892</v>
      </c>
      <c r="M36">
        <f t="shared" si="4"/>
        <v>1.2503049244820892</v>
      </c>
      <c r="N36">
        <f t="shared" ref="N36:O36" si="13">M36</f>
        <v>1.2503049244820892</v>
      </c>
      <c r="O36">
        <f t="shared" si="13"/>
        <v>1.2503049244820892</v>
      </c>
    </row>
    <row r="37" spans="1:15" x14ac:dyDescent="0.35">
      <c r="A37" t="s">
        <v>16</v>
      </c>
      <c r="B37" t="s">
        <v>30</v>
      </c>
      <c r="C37" t="s">
        <v>31</v>
      </c>
      <c r="D37">
        <f>'[5]Inpust EPM'!H39</f>
        <v>0.11130791538911888</v>
      </c>
      <c r="E37">
        <f t="shared" si="2"/>
        <v>0.11130791538911888</v>
      </c>
      <c r="F37">
        <f t="shared" si="4"/>
        <v>0.11130791538911888</v>
      </c>
      <c r="G37">
        <f t="shared" si="4"/>
        <v>0.11130791538911888</v>
      </c>
      <c r="H37">
        <f t="shared" si="4"/>
        <v>0.11130791538911888</v>
      </c>
      <c r="I37">
        <f t="shared" si="4"/>
        <v>0.11130791538911888</v>
      </c>
      <c r="J37">
        <f t="shared" si="4"/>
        <v>0.11130791538911888</v>
      </c>
      <c r="K37">
        <f t="shared" si="4"/>
        <v>0.11130791538911888</v>
      </c>
      <c r="L37">
        <f t="shared" si="4"/>
        <v>0.11130791538911888</v>
      </c>
      <c r="M37">
        <f t="shared" si="4"/>
        <v>0.11130791538911888</v>
      </c>
      <c r="N37">
        <f t="shared" ref="N37:O37" si="14">M37</f>
        <v>0.11130791538911888</v>
      </c>
      <c r="O37">
        <f t="shared" si="14"/>
        <v>0.11130791538911888</v>
      </c>
    </row>
    <row r="38" spans="1:15" x14ac:dyDescent="0.35">
      <c r="A38" t="s">
        <v>16</v>
      </c>
      <c r="B38" t="s">
        <v>32</v>
      </c>
      <c r="C38" t="s">
        <v>31</v>
      </c>
      <c r="D38">
        <f>'[5]Inpust EPM'!H40</f>
        <v>1.3314951379356845</v>
      </c>
      <c r="E38">
        <f t="shared" si="2"/>
        <v>1.3314951379356845</v>
      </c>
      <c r="F38">
        <f t="shared" si="4"/>
        <v>1.3314951379356845</v>
      </c>
      <c r="G38">
        <f t="shared" si="4"/>
        <v>1.3314951379356845</v>
      </c>
      <c r="H38">
        <f t="shared" si="4"/>
        <v>1.3314951379356845</v>
      </c>
      <c r="I38">
        <f t="shared" si="4"/>
        <v>1.3314951379356845</v>
      </c>
      <c r="J38">
        <f t="shared" si="4"/>
        <v>1.3314951379356845</v>
      </c>
      <c r="K38">
        <f t="shared" si="4"/>
        <v>1.3314951379356845</v>
      </c>
      <c r="L38">
        <f t="shared" si="4"/>
        <v>1.3314951379356845</v>
      </c>
      <c r="M38">
        <f t="shared" si="4"/>
        <v>1.3314951379356845</v>
      </c>
      <c r="N38">
        <f t="shared" ref="N38:O38" si="15">M38</f>
        <v>1.3314951379356845</v>
      </c>
      <c r="O38">
        <f t="shared" si="15"/>
        <v>1.3314951379356845</v>
      </c>
    </row>
    <row r="39" spans="1:15" x14ac:dyDescent="0.35">
      <c r="A39" t="s">
        <v>16</v>
      </c>
      <c r="B39" t="s">
        <v>33</v>
      </c>
      <c r="C39" t="s">
        <v>31</v>
      </c>
      <c r="D39">
        <f>'[5]Inpust EPM'!H41</f>
        <v>1.4335963386935073</v>
      </c>
      <c r="E39">
        <f t="shared" si="2"/>
        <v>1.4335963386935073</v>
      </c>
      <c r="F39">
        <f t="shared" si="4"/>
        <v>1.4335963386935073</v>
      </c>
      <c r="G39">
        <f t="shared" si="4"/>
        <v>1.4335963386935073</v>
      </c>
      <c r="H39">
        <f t="shared" si="4"/>
        <v>1.4335963386935073</v>
      </c>
      <c r="I39">
        <f t="shared" si="4"/>
        <v>1.4335963386935073</v>
      </c>
      <c r="J39">
        <f t="shared" si="4"/>
        <v>1.4335963386935073</v>
      </c>
      <c r="K39">
        <f t="shared" si="4"/>
        <v>1.4335963386935073</v>
      </c>
      <c r="L39">
        <f t="shared" si="4"/>
        <v>1.4335963386935073</v>
      </c>
      <c r="M39">
        <f t="shared" si="4"/>
        <v>1.4335963386935073</v>
      </c>
      <c r="N39">
        <f t="shared" ref="N39:O39" si="16">M39</f>
        <v>1.4335963386935073</v>
      </c>
      <c r="O39">
        <f t="shared" si="16"/>
        <v>1.4335963386935073</v>
      </c>
    </row>
    <row r="40" spans="1:15" x14ac:dyDescent="0.35">
      <c r="A40" t="s">
        <v>16</v>
      </c>
      <c r="B40" t="s">
        <v>34</v>
      </c>
      <c r="C40" t="s">
        <v>31</v>
      </c>
      <c r="D40">
        <f>'[5]Inpust EPM'!H42</f>
        <v>1.2579928145166615</v>
      </c>
      <c r="E40">
        <f t="shared" si="2"/>
        <v>1.2579928145166615</v>
      </c>
      <c r="F40">
        <f t="shared" si="4"/>
        <v>1.2579928145166615</v>
      </c>
      <c r="G40">
        <f t="shared" si="4"/>
        <v>1.2579928145166615</v>
      </c>
      <c r="H40">
        <f t="shared" si="4"/>
        <v>1.2579928145166615</v>
      </c>
      <c r="I40">
        <f t="shared" si="4"/>
        <v>1.2579928145166615</v>
      </c>
      <c r="J40">
        <f t="shared" si="4"/>
        <v>1.2579928145166615</v>
      </c>
      <c r="K40">
        <f t="shared" si="4"/>
        <v>1.2579928145166615</v>
      </c>
      <c r="L40">
        <f t="shared" si="4"/>
        <v>1.2579928145166615</v>
      </c>
      <c r="M40">
        <f t="shared" si="4"/>
        <v>1.2579928145166615</v>
      </c>
      <c r="N40">
        <f t="shared" ref="N40:O40" si="17">M40</f>
        <v>1.2579928145166615</v>
      </c>
      <c r="O40">
        <f t="shared" si="17"/>
        <v>1.2579928145166615</v>
      </c>
    </row>
    <row r="41" spans="1:15" x14ac:dyDescent="0.35">
      <c r="A41" t="s">
        <v>16</v>
      </c>
      <c r="B41" t="s">
        <v>35</v>
      </c>
      <c r="C41" t="s">
        <v>31</v>
      </c>
      <c r="D41">
        <f>'[5]Inpust EPM'!H43</f>
        <v>1.3820070132754791</v>
      </c>
      <c r="E41">
        <f t="shared" si="2"/>
        <v>1.3820070132754791</v>
      </c>
      <c r="F41">
        <f t="shared" si="4"/>
        <v>1.3820070132754791</v>
      </c>
      <c r="G41">
        <f t="shared" si="4"/>
        <v>1.3820070132754791</v>
      </c>
      <c r="H41">
        <f t="shared" si="4"/>
        <v>1.3820070132754791</v>
      </c>
      <c r="I41">
        <f t="shared" si="4"/>
        <v>1.3820070132754791</v>
      </c>
      <c r="J41">
        <f t="shared" si="4"/>
        <v>1.3820070132754791</v>
      </c>
      <c r="K41">
        <f t="shared" si="4"/>
        <v>1.3820070132754791</v>
      </c>
      <c r="L41">
        <f t="shared" si="4"/>
        <v>1.3820070132754791</v>
      </c>
      <c r="M41">
        <f t="shared" si="4"/>
        <v>1.3820070132754791</v>
      </c>
      <c r="N41">
        <f t="shared" ref="N41:O41" si="18">M41</f>
        <v>1.3820070132754791</v>
      </c>
      <c r="O41">
        <f t="shared" si="18"/>
        <v>1.3820070132754791</v>
      </c>
    </row>
    <row r="42" spans="1:15" x14ac:dyDescent="0.35">
      <c r="A42" t="s">
        <v>16</v>
      </c>
      <c r="B42" t="s">
        <v>36</v>
      </c>
      <c r="C42" t="s">
        <v>31</v>
      </c>
      <c r="D42">
        <f>'[5]Inpust EPM'!H44</f>
        <v>1.3858569558933391</v>
      </c>
      <c r="E42">
        <f t="shared" si="2"/>
        <v>1.3858569558933391</v>
      </c>
      <c r="F42">
        <f t="shared" si="4"/>
        <v>1.3858569558933391</v>
      </c>
      <c r="G42">
        <f t="shared" si="4"/>
        <v>1.3858569558933391</v>
      </c>
      <c r="H42">
        <f t="shared" si="4"/>
        <v>1.3858569558933391</v>
      </c>
      <c r="I42">
        <f t="shared" si="4"/>
        <v>1.3858569558933391</v>
      </c>
      <c r="J42">
        <f t="shared" si="4"/>
        <v>1.3858569558933391</v>
      </c>
      <c r="K42">
        <f t="shared" si="4"/>
        <v>1.3858569558933391</v>
      </c>
      <c r="L42">
        <f t="shared" si="4"/>
        <v>1.3858569558933391</v>
      </c>
      <c r="M42">
        <f t="shared" si="4"/>
        <v>1.3858569558933391</v>
      </c>
      <c r="N42">
        <f t="shared" ref="N42:O42" si="19">M42</f>
        <v>1.3858569558933391</v>
      </c>
      <c r="O42">
        <f t="shared" si="19"/>
        <v>1.3858569558933391</v>
      </c>
    </row>
    <row r="43" spans="1:15" x14ac:dyDescent="0.35">
      <c r="A43" t="s">
        <v>16</v>
      </c>
      <c r="B43" t="s">
        <v>37</v>
      </c>
      <c r="C43" t="s">
        <v>31</v>
      </c>
      <c r="D43">
        <f>'[5]Inpust EPM'!H45</f>
        <v>1.2620787221413228</v>
      </c>
      <c r="E43">
        <f t="shared" si="2"/>
        <v>1.2620787221413228</v>
      </c>
      <c r="F43">
        <f t="shared" si="4"/>
        <v>1.2620787221413228</v>
      </c>
      <c r="G43">
        <f t="shared" si="4"/>
        <v>1.2620787221413228</v>
      </c>
      <c r="H43">
        <f t="shared" si="4"/>
        <v>1.2620787221413228</v>
      </c>
      <c r="I43">
        <f t="shared" si="4"/>
        <v>1.2620787221413228</v>
      </c>
      <c r="J43">
        <f t="shared" si="4"/>
        <v>1.2620787221413228</v>
      </c>
      <c r="K43">
        <f t="shared" si="4"/>
        <v>1.2620787221413228</v>
      </c>
      <c r="L43">
        <f t="shared" si="4"/>
        <v>1.2620787221413228</v>
      </c>
      <c r="M43">
        <f t="shared" si="4"/>
        <v>1.2620787221413228</v>
      </c>
      <c r="N43">
        <f t="shared" ref="N43:O43" si="20">M43</f>
        <v>1.2620787221413228</v>
      </c>
      <c r="O43">
        <f t="shared" si="20"/>
        <v>1.2620787221413228</v>
      </c>
    </row>
    <row r="44" spans="1:15" x14ac:dyDescent="0.35">
      <c r="A44" t="s">
        <v>19</v>
      </c>
      <c r="B44" t="s">
        <v>30</v>
      </c>
      <c r="C44" t="s">
        <v>31</v>
      </c>
      <c r="D44">
        <f>'[5]Inpust EPM'!H46</f>
        <v>0.10272173611430811</v>
      </c>
      <c r="E44">
        <f t="shared" si="2"/>
        <v>0.10272173611430811</v>
      </c>
      <c r="F44">
        <f t="shared" ref="F44:M50" si="21">E44</f>
        <v>0.10272173611430811</v>
      </c>
      <c r="G44">
        <f t="shared" si="21"/>
        <v>0.10272173611430811</v>
      </c>
      <c r="H44">
        <f t="shared" si="21"/>
        <v>0.10272173611430811</v>
      </c>
      <c r="I44">
        <f t="shared" si="21"/>
        <v>0.10272173611430811</v>
      </c>
      <c r="J44">
        <f t="shared" si="21"/>
        <v>0.10272173611430811</v>
      </c>
      <c r="K44">
        <f t="shared" si="21"/>
        <v>0.10272173611430811</v>
      </c>
      <c r="L44">
        <f t="shared" si="21"/>
        <v>0.10272173611430811</v>
      </c>
      <c r="M44">
        <f t="shared" si="21"/>
        <v>0.10272173611430811</v>
      </c>
      <c r="N44">
        <f t="shared" ref="N44:O44" si="22">M44</f>
        <v>0.10272173611430811</v>
      </c>
      <c r="O44">
        <f t="shared" si="22"/>
        <v>0.10272173611430811</v>
      </c>
    </row>
    <row r="45" spans="1:15" x14ac:dyDescent="0.35">
      <c r="A45" t="s">
        <v>19</v>
      </c>
      <c r="B45" t="s">
        <v>32</v>
      </c>
      <c r="C45" t="s">
        <v>31</v>
      </c>
      <c r="D45">
        <f>'[5]Inpust EPM'!H47</f>
        <v>1.3324260076106256</v>
      </c>
      <c r="E45">
        <f t="shared" si="2"/>
        <v>1.3324260076106256</v>
      </c>
      <c r="F45">
        <f t="shared" si="21"/>
        <v>1.3324260076106256</v>
      </c>
      <c r="G45">
        <f t="shared" si="21"/>
        <v>1.3324260076106256</v>
      </c>
      <c r="H45">
        <f t="shared" si="21"/>
        <v>1.3324260076106256</v>
      </c>
      <c r="I45">
        <f t="shared" si="21"/>
        <v>1.3324260076106256</v>
      </c>
      <c r="J45">
        <f t="shared" si="21"/>
        <v>1.3324260076106256</v>
      </c>
      <c r="K45">
        <f t="shared" si="21"/>
        <v>1.3324260076106256</v>
      </c>
      <c r="L45">
        <f t="shared" si="21"/>
        <v>1.3324260076106256</v>
      </c>
      <c r="M45">
        <f t="shared" si="21"/>
        <v>1.3324260076106256</v>
      </c>
      <c r="N45">
        <f t="shared" ref="N45:O45" si="23">M45</f>
        <v>1.3324260076106256</v>
      </c>
      <c r="O45">
        <f t="shared" si="23"/>
        <v>1.3324260076106256</v>
      </c>
    </row>
    <row r="46" spans="1:15" x14ac:dyDescent="0.35">
      <c r="A46" t="s">
        <v>19</v>
      </c>
      <c r="B46" t="s">
        <v>33</v>
      </c>
      <c r="C46" t="s">
        <v>31</v>
      </c>
      <c r="D46">
        <f>'[5]Inpust EPM'!H48</f>
        <v>0.99945516219177133</v>
      </c>
      <c r="E46">
        <f t="shared" si="2"/>
        <v>0.99945516219177133</v>
      </c>
      <c r="F46">
        <f t="shared" si="21"/>
        <v>0.99945516219177133</v>
      </c>
      <c r="G46">
        <f t="shared" si="21"/>
        <v>0.99945516219177133</v>
      </c>
      <c r="H46">
        <f t="shared" si="21"/>
        <v>0.99945516219177133</v>
      </c>
      <c r="I46">
        <f t="shared" si="21"/>
        <v>0.99945516219177133</v>
      </c>
      <c r="J46">
        <f t="shared" si="21"/>
        <v>0.99945516219177133</v>
      </c>
      <c r="K46">
        <f t="shared" si="21"/>
        <v>0.99945516219177133</v>
      </c>
      <c r="L46">
        <f t="shared" si="21"/>
        <v>0.99945516219177133</v>
      </c>
      <c r="M46">
        <f t="shared" si="21"/>
        <v>0.99945516219177133</v>
      </c>
      <c r="N46">
        <f t="shared" ref="N46:O46" si="24">M46</f>
        <v>0.99945516219177133</v>
      </c>
      <c r="O46">
        <f t="shared" si="24"/>
        <v>0.99945516219177133</v>
      </c>
    </row>
    <row r="47" spans="1:15" x14ac:dyDescent="0.35">
      <c r="A47" t="s">
        <v>19</v>
      </c>
      <c r="B47" t="s">
        <v>34</v>
      </c>
      <c r="C47" t="s">
        <v>31</v>
      </c>
      <c r="D47">
        <f>'[5]Inpust EPM'!H49</f>
        <v>1.5851851851851853</v>
      </c>
      <c r="E47">
        <f t="shared" si="2"/>
        <v>1.5851851851851853</v>
      </c>
      <c r="F47">
        <f t="shared" si="21"/>
        <v>1.5851851851851853</v>
      </c>
      <c r="G47">
        <f t="shared" si="21"/>
        <v>1.5851851851851853</v>
      </c>
      <c r="H47">
        <f t="shared" si="21"/>
        <v>1.5851851851851853</v>
      </c>
      <c r="I47">
        <f t="shared" si="21"/>
        <v>1.5851851851851853</v>
      </c>
      <c r="J47">
        <f t="shared" si="21"/>
        <v>1.5851851851851853</v>
      </c>
      <c r="K47">
        <f t="shared" si="21"/>
        <v>1.5851851851851853</v>
      </c>
      <c r="L47">
        <f t="shared" si="21"/>
        <v>1.5851851851851853</v>
      </c>
      <c r="M47">
        <f t="shared" si="21"/>
        <v>1.5851851851851853</v>
      </c>
      <c r="N47">
        <f t="shared" ref="N47:O47" si="25">M47</f>
        <v>1.5851851851851853</v>
      </c>
      <c r="O47">
        <f t="shared" si="25"/>
        <v>1.5851851851851853</v>
      </c>
    </row>
    <row r="48" spans="1:15" x14ac:dyDescent="0.35">
      <c r="A48" t="s">
        <v>19</v>
      </c>
      <c r="B48" t="s">
        <v>35</v>
      </c>
      <c r="C48" t="s">
        <v>31</v>
      </c>
      <c r="D48">
        <f>'[5]Inpust EPM'!H50</f>
        <v>1.1444522419108247</v>
      </c>
      <c r="E48">
        <f t="shared" si="2"/>
        <v>1.1444522419108247</v>
      </c>
      <c r="F48">
        <f t="shared" si="21"/>
        <v>1.1444522419108247</v>
      </c>
      <c r="G48">
        <f t="shared" si="21"/>
        <v>1.1444522419108247</v>
      </c>
      <c r="H48">
        <f t="shared" si="21"/>
        <v>1.1444522419108247</v>
      </c>
      <c r="I48">
        <f t="shared" si="21"/>
        <v>1.1444522419108247</v>
      </c>
      <c r="J48">
        <f t="shared" si="21"/>
        <v>1.1444522419108247</v>
      </c>
      <c r="K48">
        <f t="shared" si="21"/>
        <v>1.1444522419108247</v>
      </c>
      <c r="L48">
        <f t="shared" si="21"/>
        <v>1.1444522419108247</v>
      </c>
      <c r="M48">
        <f t="shared" si="21"/>
        <v>1.1444522419108247</v>
      </c>
      <c r="N48">
        <f t="shared" ref="N48:O48" si="26">M48</f>
        <v>1.1444522419108247</v>
      </c>
      <c r="O48">
        <f t="shared" si="26"/>
        <v>1.1444522419108247</v>
      </c>
    </row>
    <row r="49" spans="1:15" x14ac:dyDescent="0.35">
      <c r="A49" t="s">
        <v>19</v>
      </c>
      <c r="B49" t="s">
        <v>36</v>
      </c>
      <c r="C49" t="s">
        <v>31</v>
      </c>
      <c r="D49">
        <f>'[5]Inpust EPM'!H51</f>
        <v>1.4642072590112685</v>
      </c>
      <c r="E49">
        <f t="shared" si="2"/>
        <v>1.4642072590112685</v>
      </c>
      <c r="F49">
        <f t="shared" si="21"/>
        <v>1.4642072590112685</v>
      </c>
      <c r="G49">
        <f t="shared" si="21"/>
        <v>1.4642072590112685</v>
      </c>
      <c r="H49">
        <f t="shared" si="21"/>
        <v>1.4642072590112685</v>
      </c>
      <c r="I49">
        <f t="shared" si="21"/>
        <v>1.4642072590112685</v>
      </c>
      <c r="J49">
        <f t="shared" si="21"/>
        <v>1.4642072590112685</v>
      </c>
      <c r="K49">
        <f t="shared" si="21"/>
        <v>1.4642072590112685</v>
      </c>
      <c r="L49">
        <f t="shared" si="21"/>
        <v>1.4642072590112685</v>
      </c>
      <c r="M49">
        <f t="shared" si="21"/>
        <v>1.4642072590112685</v>
      </c>
      <c r="N49">
        <f t="shared" ref="N49:O49" si="27">M49</f>
        <v>1.4642072590112685</v>
      </c>
      <c r="O49">
        <f t="shared" si="27"/>
        <v>1.4642072590112685</v>
      </c>
    </row>
    <row r="50" spans="1:15" x14ac:dyDescent="0.35">
      <c r="A50" t="s">
        <v>19</v>
      </c>
      <c r="B50" t="s">
        <v>37</v>
      </c>
      <c r="C50" t="s">
        <v>31</v>
      </c>
      <c r="D50">
        <f>'[5]Inpust EPM'!H52</f>
        <v>1.2941998697517798</v>
      </c>
      <c r="E50">
        <f t="shared" si="2"/>
        <v>1.2941998697517798</v>
      </c>
      <c r="F50">
        <f t="shared" si="21"/>
        <v>1.2941998697517798</v>
      </c>
      <c r="G50">
        <f t="shared" si="21"/>
        <v>1.2941998697517798</v>
      </c>
      <c r="H50">
        <f t="shared" si="21"/>
        <v>1.2941998697517798</v>
      </c>
      <c r="I50">
        <f t="shared" si="21"/>
        <v>1.2941998697517798</v>
      </c>
      <c r="J50">
        <f t="shared" si="21"/>
        <v>1.2941998697517798</v>
      </c>
      <c r="K50">
        <f t="shared" si="21"/>
        <v>1.2941998697517798</v>
      </c>
      <c r="L50">
        <f t="shared" si="21"/>
        <v>1.2941998697517798</v>
      </c>
      <c r="M50">
        <f t="shared" si="21"/>
        <v>1.2941998697517798</v>
      </c>
      <c r="N50">
        <f t="shared" ref="N50:O50" si="28">M50</f>
        <v>1.2941998697517798</v>
      </c>
      <c r="O50">
        <f t="shared" si="28"/>
        <v>1.2941998697517798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80693-A254-435C-9B67-7ABB5D25EAA1}">
  <dimension ref="A1"/>
  <sheetViews>
    <sheetView tabSelected="1" workbookViewId="0">
      <selection activeCell="J11" sqref="J11"/>
    </sheetView>
  </sheetViews>
  <sheetFormatPr baseColWidth="10"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CABB80693E2184BB67E2D9B1AEB302B" ma:contentTypeVersion="18" ma:contentTypeDescription="Crear nuevo documento." ma:contentTypeScope="" ma:versionID="ae7fc125f0922bd81aa9fff759d982e7">
  <xsd:schema xmlns:xsd="http://www.w3.org/2001/XMLSchema" xmlns:xs="http://www.w3.org/2001/XMLSchema" xmlns:p="http://schemas.microsoft.com/office/2006/metadata/properties" xmlns:ns2="7c7b89f8-bfb0-4f6d-aa93-a7df2a1a6821" xmlns:ns3="943ab931-17a6-4e89-bad1-eed902ff4899" targetNamespace="http://schemas.microsoft.com/office/2006/metadata/properties" ma:root="true" ma:fieldsID="9739e70e4b5540fc937fb84f0a71f128" ns2:_="" ns3:_="">
    <xsd:import namespace="7c7b89f8-bfb0-4f6d-aa93-a7df2a1a6821"/>
    <xsd:import namespace="943ab931-17a6-4e89-bad1-eed902ff48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7b89f8-bfb0-4f6d-aa93-a7df2a1a68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9f319c45-f596-4753-90b2-770d30d74f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3ab931-17a6-4e89-bad1-eed902ff489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7e81ccc8-5e4f-4a27-98b9-fd6f38cc8f91}" ma:internalName="TaxCatchAll" ma:showField="CatchAllData" ma:web="943ab931-17a6-4e89-bad1-eed902ff48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7b89f8-bfb0-4f6d-aa93-a7df2a1a6821">
      <Terms xmlns="http://schemas.microsoft.com/office/infopath/2007/PartnerControls"/>
    </lcf76f155ced4ddcb4097134ff3c332f>
    <TaxCatchAll xmlns="943ab931-17a6-4e89-bad1-eed902ff4899" xsi:nil="true"/>
  </documentManagement>
</p:properties>
</file>

<file path=customXml/itemProps1.xml><?xml version="1.0" encoding="utf-8"?>
<ds:datastoreItem xmlns:ds="http://schemas.openxmlformats.org/officeDocument/2006/customXml" ds:itemID="{FE3BA260-FFB3-46F7-9254-C382F9884448}"/>
</file>

<file path=customXml/itemProps2.xml><?xml version="1.0" encoding="utf-8"?>
<ds:datastoreItem xmlns:ds="http://schemas.openxmlformats.org/officeDocument/2006/customXml" ds:itemID="{79165FDD-242A-4522-BBA0-57F857F4158D}"/>
</file>

<file path=customXml/itemProps3.xml><?xml version="1.0" encoding="utf-8"?>
<ds:datastoreItem xmlns:ds="http://schemas.openxmlformats.org/officeDocument/2006/customXml" ds:itemID="{E85B179E-F2AE-4C21-8969-DD978B4F289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Cobrands_Partners</vt:lpstr>
      <vt:lpstr>Breakage</vt:lpstr>
      <vt:lpstr>Redenciones</vt:lpstr>
      <vt:lpstr>SSP_PrecioPasivo</vt:lpstr>
      <vt:lpstr>Ratio_acumulacion</vt:lpstr>
      <vt:lpstr>Penetracion_GB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Bracco</dc:creator>
  <cp:lastModifiedBy>Diego Bracco</cp:lastModifiedBy>
  <dcterms:created xsi:type="dcterms:W3CDTF">2026-10-12T17:09:46Z</dcterms:created>
  <dcterms:modified xsi:type="dcterms:W3CDTF">2026-10-12T18:12:10Z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ContentTypeId">
    <vt:lpwstr>0x0101003CABB80693E2184BB67E2D9B1AEB302B</vt:lpwstr>
  </property>
</Properties>
</file>